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_Yields" sheetId="1" state="visible" r:id="rId1"/>
    <sheet name="JP_Yields" sheetId="2" state="visible" r:id="rId2"/>
    <sheet name="FX_USDJPY" sheetId="3" state="visible" r:id="rId3"/>
    <sheet name="WEO_Macro" sheetId="4" state="visible" r:id="rId4"/>
    <sheet name="Spreads" sheetId="5" state="visible" r:id="rId5"/>
    <sheet name="Carry_PnL" sheetId="6" state="visible" r:id="rId6"/>
    <sheet name="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i val="1"/>
      <color rgb="00666666"/>
    </font>
    <font>
      <b val="1"/>
    </font>
    <font>
      <i val="1"/>
      <color rgb="00888888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Source: U.S. Department of the Treasury — Daily Treasury Par Yield Curve Rates</t>
        </is>
      </c>
    </row>
    <row r="3">
      <c r="A3" s="2" t="inlineStr">
        <is>
          <t>Date</t>
        </is>
      </c>
      <c r="B3" s="2" t="inlineStr">
        <is>
          <t>1 Mo</t>
        </is>
      </c>
      <c r="C3" s="2" t="inlineStr">
        <is>
          <t>1.5 Month</t>
        </is>
      </c>
      <c r="D3" s="2" t="inlineStr">
        <is>
          <t>2 Mo</t>
        </is>
      </c>
      <c r="E3" s="2" t="inlineStr">
        <is>
          <t>3 Mo</t>
        </is>
      </c>
      <c r="F3" s="2" t="inlineStr">
        <is>
          <t>4 Mo</t>
        </is>
      </c>
      <c r="G3" s="2" t="inlineStr">
        <is>
          <t>6 Mo</t>
        </is>
      </c>
      <c r="H3" s="2" t="inlineStr">
        <is>
          <t>1 Yr</t>
        </is>
      </c>
      <c r="I3" s="2" t="inlineStr">
        <is>
          <t>2 Yr</t>
        </is>
      </c>
      <c r="J3" s="2" t="inlineStr">
        <is>
          <t>3 Yr</t>
        </is>
      </c>
      <c r="K3" s="2" t="inlineStr">
        <is>
          <t>5 Yr</t>
        </is>
      </c>
      <c r="L3" s="2" t="inlineStr">
        <is>
          <t>7 Yr</t>
        </is>
      </c>
      <c r="M3" s="2" t="inlineStr">
        <is>
          <t>10 Yr</t>
        </is>
      </c>
      <c r="N3" s="2" t="inlineStr">
        <is>
          <t>20 Yr</t>
        </is>
      </c>
      <c r="O3" s="2" t="inlineStr">
        <is>
          <t>30 Yr</t>
        </is>
      </c>
    </row>
    <row r="4">
      <c r="A4" s="3" t="n">
        <v>46024</v>
      </c>
      <c r="B4" t="n">
        <v>3.72</v>
      </c>
      <c r="C4" t="n">
        <v>3.71</v>
      </c>
      <c r="D4" t="n">
        <v>3.66</v>
      </c>
      <c r="E4" t="n">
        <v>3.65</v>
      </c>
      <c r="F4" t="n">
        <v>3.62</v>
      </c>
      <c r="G4" t="n">
        <v>3.58</v>
      </c>
      <c r="H4" t="n">
        <v>3.47</v>
      </c>
      <c r="I4" t="n">
        <v>3.47</v>
      </c>
      <c r="J4" t="n">
        <v>3.55</v>
      </c>
      <c r="K4" t="n">
        <v>3.74</v>
      </c>
      <c r="L4" t="n">
        <v>3.95</v>
      </c>
      <c r="M4" t="n">
        <v>4.19</v>
      </c>
      <c r="N4" t="n">
        <v>4.81</v>
      </c>
      <c r="O4" t="n">
        <v>4.86</v>
      </c>
    </row>
    <row r="5">
      <c r="A5" s="3" t="n">
        <v>46027</v>
      </c>
      <c r="B5" t="n">
        <v>3.71</v>
      </c>
      <c r="C5" t="n">
        <v>3.68</v>
      </c>
      <c r="D5" t="n">
        <v>3.64</v>
      </c>
      <c r="E5" t="n">
        <v>3.64</v>
      </c>
      <c r="F5" t="n">
        <v>3.61</v>
      </c>
      <c r="G5" t="n">
        <v>3.57</v>
      </c>
      <c r="H5" t="n">
        <v>3.47</v>
      </c>
      <c r="I5" t="n">
        <v>3.46</v>
      </c>
      <c r="J5" t="n">
        <v>3.53</v>
      </c>
      <c r="K5" t="n">
        <v>3.71</v>
      </c>
      <c r="L5" t="n">
        <v>3.92</v>
      </c>
      <c r="M5" t="n">
        <v>4.17</v>
      </c>
      <c r="N5" t="n">
        <v>4.79</v>
      </c>
      <c r="O5" t="n">
        <v>4.85</v>
      </c>
    </row>
    <row r="6">
      <c r="A6" s="3" t="n">
        <v>46028</v>
      </c>
      <c r="B6" t="n">
        <v>3.7</v>
      </c>
      <c r="C6" t="n">
        <v>3.7</v>
      </c>
      <c r="D6" t="n">
        <v>3.61</v>
      </c>
      <c r="E6" t="n">
        <v>3.63</v>
      </c>
      <c r="F6" t="n">
        <v>3.58</v>
      </c>
      <c r="G6" t="n">
        <v>3.56</v>
      </c>
      <c r="H6" t="n">
        <v>3.48</v>
      </c>
      <c r="I6" t="n">
        <v>3.47</v>
      </c>
      <c r="J6" t="n">
        <v>3.54</v>
      </c>
      <c r="K6" t="n">
        <v>3.72</v>
      </c>
      <c r="L6" t="n">
        <v>3.93</v>
      </c>
      <c r="M6" t="n">
        <v>4.18</v>
      </c>
      <c r="N6" t="n">
        <v>4.8</v>
      </c>
      <c r="O6" t="n">
        <v>4.86</v>
      </c>
    </row>
    <row r="7">
      <c r="A7" s="3" t="n">
        <v>46029</v>
      </c>
      <c r="B7" t="n">
        <v>3.7</v>
      </c>
      <c r="C7" t="n">
        <v>3.69</v>
      </c>
      <c r="D7" t="n">
        <v>3.6</v>
      </c>
      <c r="E7" t="n">
        <v>3.62</v>
      </c>
      <c r="F7" t="n">
        <v>3.6</v>
      </c>
      <c r="G7" t="n">
        <v>3.56</v>
      </c>
      <c r="H7" t="n">
        <v>3.48</v>
      </c>
      <c r="I7" t="n">
        <v>3.47</v>
      </c>
      <c r="J7" t="n">
        <v>3.53</v>
      </c>
      <c r="K7" t="n">
        <v>3.7</v>
      </c>
      <c r="L7" t="n">
        <v>3.91</v>
      </c>
      <c r="M7" t="n">
        <v>4.15</v>
      </c>
      <c r="N7" t="n">
        <v>4.76</v>
      </c>
      <c r="O7" t="n">
        <v>4.82</v>
      </c>
    </row>
    <row r="8">
      <c r="A8" s="3" t="n">
        <v>46030</v>
      </c>
      <c r="B8" t="n">
        <v>3.7</v>
      </c>
      <c r="C8" t="n">
        <v>3.69</v>
      </c>
      <c r="D8" t="n">
        <v>3.63</v>
      </c>
      <c r="E8" t="n">
        <v>3.62</v>
      </c>
      <c r="F8" t="n">
        <v>3.6</v>
      </c>
      <c r="G8" t="n">
        <v>3.56</v>
      </c>
      <c r="H8" t="n">
        <v>3.48</v>
      </c>
      <c r="I8" t="n">
        <v>3.49</v>
      </c>
      <c r="J8" t="n">
        <v>3.56</v>
      </c>
      <c r="K8" t="n">
        <v>3.74</v>
      </c>
      <c r="L8" t="n">
        <v>3.95</v>
      </c>
      <c r="M8" t="n">
        <v>4.19</v>
      </c>
      <c r="N8" t="n">
        <v>4.79</v>
      </c>
      <c r="O8" t="n">
        <v>4.85</v>
      </c>
    </row>
    <row r="9">
      <c r="A9" s="3" t="n">
        <v>46031</v>
      </c>
      <c r="B9" t="n">
        <v>3.7</v>
      </c>
      <c r="C9" t="n">
        <v>3.68</v>
      </c>
      <c r="D9" t="n">
        <v>3.63</v>
      </c>
      <c r="E9" t="n">
        <v>3.62</v>
      </c>
      <c r="F9" t="n">
        <v>3.62</v>
      </c>
      <c r="G9" t="n">
        <v>3.57</v>
      </c>
      <c r="H9" t="n">
        <v>3.52</v>
      </c>
      <c r="I9" t="n">
        <v>3.54</v>
      </c>
      <c r="J9" t="n">
        <v>3.59</v>
      </c>
      <c r="K9" t="n">
        <v>3.75</v>
      </c>
      <c r="L9" t="n">
        <v>3.95</v>
      </c>
      <c r="M9" t="n">
        <v>4.18</v>
      </c>
      <c r="N9" t="n">
        <v>4.76</v>
      </c>
      <c r="O9" t="n">
        <v>4.82</v>
      </c>
    </row>
    <row r="10">
      <c r="A10" s="3" t="n">
        <v>46034</v>
      </c>
      <c r="B10" t="n">
        <v>3.71</v>
      </c>
      <c r="C10" t="n">
        <v>3.68</v>
      </c>
      <c r="D10" t="n">
        <v>3.64</v>
      </c>
      <c r="E10" t="n">
        <v>3.67</v>
      </c>
      <c r="F10" t="n">
        <v>3.63</v>
      </c>
      <c r="G10" t="n">
        <v>3.58</v>
      </c>
      <c r="H10" t="n">
        <v>3.53</v>
      </c>
      <c r="I10" t="n">
        <v>3.54</v>
      </c>
      <c r="J10" t="n">
        <v>3.59</v>
      </c>
      <c r="K10" t="n">
        <v>3.77</v>
      </c>
      <c r="L10" t="n">
        <v>3.97</v>
      </c>
      <c r="M10" t="n">
        <v>4.19</v>
      </c>
      <c r="N10" t="n">
        <v>4.78</v>
      </c>
      <c r="O10" t="n">
        <v>4.83</v>
      </c>
    </row>
    <row r="11">
      <c r="A11" s="3" t="n">
        <v>46035</v>
      </c>
      <c r="B11" t="n">
        <v>3.72</v>
      </c>
      <c r="C11" t="n">
        <v>3.72</v>
      </c>
      <c r="D11" t="n">
        <v>3.66</v>
      </c>
      <c r="E11" t="n">
        <v>3.67</v>
      </c>
      <c r="F11" t="n">
        <v>3.63</v>
      </c>
      <c r="G11" t="n">
        <v>3.59</v>
      </c>
      <c r="H11" t="n">
        <v>3.51</v>
      </c>
      <c r="I11" t="n">
        <v>3.53</v>
      </c>
      <c r="J11" t="n">
        <v>3.57</v>
      </c>
      <c r="K11" t="n">
        <v>3.75</v>
      </c>
      <c r="L11" t="n">
        <v>3.95</v>
      </c>
      <c r="M11" t="n">
        <v>4.18</v>
      </c>
      <c r="N11" t="n">
        <v>4.77</v>
      </c>
      <c r="O11" t="n">
        <v>4.83</v>
      </c>
    </row>
    <row r="12">
      <c r="A12" s="3" t="n">
        <v>46036</v>
      </c>
      <c r="B12" t="n">
        <v>3.72</v>
      </c>
      <c r="C12" t="n">
        <v>3.71</v>
      </c>
      <c r="D12" t="n">
        <v>3.66</v>
      </c>
      <c r="E12" t="n">
        <v>3.67</v>
      </c>
      <c r="F12" t="n">
        <v>3.65</v>
      </c>
      <c r="G12" t="n">
        <v>3.58</v>
      </c>
      <c r="H12" t="n">
        <v>3.5</v>
      </c>
      <c r="I12" t="n">
        <v>3.51</v>
      </c>
      <c r="J12" t="n">
        <v>3.56</v>
      </c>
      <c r="K12" t="n">
        <v>3.72</v>
      </c>
      <c r="L12" t="n">
        <v>3.92</v>
      </c>
      <c r="M12" t="n">
        <v>4.15</v>
      </c>
      <c r="N12" t="n">
        <v>4.73</v>
      </c>
      <c r="O12" t="n">
        <v>4.79</v>
      </c>
    </row>
    <row r="13">
      <c r="A13" s="3" t="n">
        <v>46037</v>
      </c>
      <c r="B13" t="n">
        <v>3.75</v>
      </c>
      <c r="C13" t="n">
        <v>3.73</v>
      </c>
      <c r="D13" t="n">
        <v>3.69</v>
      </c>
      <c r="E13" t="n">
        <v>3.68</v>
      </c>
      <c r="F13" t="n">
        <v>3.66</v>
      </c>
      <c r="G13" t="n">
        <v>3.6</v>
      </c>
      <c r="H13" t="n">
        <v>3.54</v>
      </c>
      <c r="I13" t="n">
        <v>3.56</v>
      </c>
      <c r="J13" t="n">
        <v>3.62</v>
      </c>
      <c r="K13" t="n">
        <v>3.77</v>
      </c>
      <c r="L13" t="n">
        <v>3.96</v>
      </c>
      <c r="M13" t="n">
        <v>4.17</v>
      </c>
      <c r="N13" t="n">
        <v>4.74</v>
      </c>
      <c r="O13" t="n">
        <v>4.79</v>
      </c>
    </row>
    <row r="14">
      <c r="A14" s="3" t="n">
        <v>46038</v>
      </c>
      <c r="B14" t="n">
        <v>3.75</v>
      </c>
      <c r="C14" t="n">
        <v>3.72</v>
      </c>
      <c r="D14" t="n">
        <v>3.68</v>
      </c>
      <c r="E14" t="n">
        <v>3.67</v>
      </c>
      <c r="F14" t="n">
        <v>3.66</v>
      </c>
      <c r="G14" t="n">
        <v>3.6</v>
      </c>
      <c r="H14" t="n">
        <v>3.55</v>
      </c>
      <c r="I14" t="n">
        <v>3.59</v>
      </c>
      <c r="J14" t="n">
        <v>3.67</v>
      </c>
      <c r="K14" t="n">
        <v>3.82</v>
      </c>
      <c r="L14" t="n">
        <v>4.02</v>
      </c>
      <c r="M14" t="n">
        <v>4.24</v>
      </c>
      <c r="N14" t="n">
        <v>4.79</v>
      </c>
      <c r="O14" t="n">
        <v>4.83</v>
      </c>
    </row>
    <row r="15">
      <c r="A15" s="3" t="n">
        <v>46042</v>
      </c>
      <c r="B15" t="n">
        <v>3.75</v>
      </c>
      <c r="C15" t="n">
        <v>3.71</v>
      </c>
      <c r="D15" t="n">
        <v>3.69</v>
      </c>
      <c r="E15" t="n">
        <v>3.7</v>
      </c>
      <c r="F15" t="n">
        <v>3.65</v>
      </c>
      <c r="G15" t="n">
        <v>3.61</v>
      </c>
      <c r="H15" t="n">
        <v>3.53</v>
      </c>
      <c r="I15" t="n">
        <v>3.6</v>
      </c>
      <c r="J15" t="n">
        <v>3.68</v>
      </c>
      <c r="K15" t="n">
        <v>3.86</v>
      </c>
      <c r="L15" t="n">
        <v>4.08</v>
      </c>
      <c r="M15" t="n">
        <v>4.3</v>
      </c>
      <c r="N15" t="n">
        <v>4.87</v>
      </c>
      <c r="O15" t="n">
        <v>4.91</v>
      </c>
    </row>
    <row r="16">
      <c r="A16" s="3" t="n">
        <v>46043</v>
      </c>
      <c r="B16" t="n">
        <v>3.75</v>
      </c>
      <c r="C16" t="n">
        <v>3.71</v>
      </c>
      <c r="D16" t="n">
        <v>3.7</v>
      </c>
      <c r="E16" t="n">
        <v>3.7</v>
      </c>
      <c r="F16" t="n">
        <v>3.67</v>
      </c>
      <c r="G16" t="n">
        <v>3.62</v>
      </c>
      <c r="H16" t="n">
        <v>3.53</v>
      </c>
      <c r="I16" t="n">
        <v>3.6</v>
      </c>
      <c r="J16" t="n">
        <v>3.66</v>
      </c>
      <c r="K16" t="n">
        <v>3.83</v>
      </c>
      <c r="L16" t="n">
        <v>4.04</v>
      </c>
      <c r="M16" t="n">
        <v>4.26</v>
      </c>
      <c r="N16" t="n">
        <v>4.82</v>
      </c>
      <c r="O16" t="n">
        <v>4.87</v>
      </c>
    </row>
    <row r="17">
      <c r="A17" s="3" t="n">
        <v>46044</v>
      </c>
      <c r="B17" t="n">
        <v>3.79</v>
      </c>
      <c r="C17" t="n">
        <v>3.71</v>
      </c>
      <c r="D17" t="n">
        <v>3.72</v>
      </c>
      <c r="E17" t="n">
        <v>3.71</v>
      </c>
      <c r="F17" t="n">
        <v>3.67</v>
      </c>
      <c r="G17" t="n">
        <v>3.61</v>
      </c>
      <c r="H17" t="n">
        <v>3.53</v>
      </c>
      <c r="I17" t="n">
        <v>3.61</v>
      </c>
      <c r="J17" t="n">
        <v>3.68</v>
      </c>
      <c r="K17" t="n">
        <v>3.85</v>
      </c>
      <c r="L17" t="n">
        <v>4.05</v>
      </c>
      <c r="M17" t="n">
        <v>4.26</v>
      </c>
      <c r="N17" t="n">
        <v>4.79</v>
      </c>
      <c r="O17" t="n">
        <v>4.84</v>
      </c>
    </row>
    <row r="18">
      <c r="A18" s="3" t="n">
        <v>46045</v>
      </c>
      <c r="B18" t="n">
        <v>3.78</v>
      </c>
      <c r="C18" t="n">
        <v>3.71</v>
      </c>
      <c r="D18" t="n">
        <v>3.72</v>
      </c>
      <c r="E18" t="n">
        <v>3.7</v>
      </c>
      <c r="F18" t="n">
        <v>3.67</v>
      </c>
      <c r="G18" t="n">
        <v>3.61</v>
      </c>
      <c r="H18" t="n">
        <v>3.53</v>
      </c>
      <c r="I18" t="n">
        <v>3.6</v>
      </c>
      <c r="J18" t="n">
        <v>3.67</v>
      </c>
      <c r="K18" t="n">
        <v>3.84</v>
      </c>
      <c r="L18" t="n">
        <v>4.03</v>
      </c>
      <c r="M18" t="n">
        <v>4.24</v>
      </c>
      <c r="N18" t="n">
        <v>4.78</v>
      </c>
      <c r="O18" t="n">
        <v>4.82</v>
      </c>
    </row>
    <row r="19">
      <c r="A19" s="3" t="n">
        <v>46048</v>
      </c>
      <c r="B19" t="n">
        <v>3.77</v>
      </c>
      <c r="C19" t="n">
        <v>3.71</v>
      </c>
      <c r="D19" t="n">
        <v>3.7</v>
      </c>
      <c r="E19" t="n">
        <v>3.67</v>
      </c>
      <c r="F19" t="n">
        <v>3.67</v>
      </c>
      <c r="G19" t="n">
        <v>3.62</v>
      </c>
      <c r="H19" t="n">
        <v>3.52</v>
      </c>
      <c r="I19" t="n">
        <v>3.56</v>
      </c>
      <c r="J19" t="n">
        <v>3.66</v>
      </c>
      <c r="K19" t="n">
        <v>3.82</v>
      </c>
      <c r="L19" t="n">
        <v>4.02</v>
      </c>
      <c r="M19" t="n">
        <v>4.22</v>
      </c>
      <c r="N19" t="n">
        <v>4.75</v>
      </c>
      <c r="O19" t="n">
        <v>4.8</v>
      </c>
    </row>
    <row r="20">
      <c r="A20" s="3" t="n">
        <v>46049</v>
      </c>
      <c r="B20" t="n">
        <v>3.77</v>
      </c>
      <c r="C20" t="n">
        <v>3.72</v>
      </c>
      <c r="D20" t="n">
        <v>3.7</v>
      </c>
      <c r="E20" t="n">
        <v>3.67</v>
      </c>
      <c r="F20" t="n">
        <v>3.66</v>
      </c>
      <c r="G20" t="n">
        <v>3.61</v>
      </c>
      <c r="H20" t="n">
        <v>3.5</v>
      </c>
      <c r="I20" t="n">
        <v>3.53</v>
      </c>
      <c r="J20" t="n">
        <v>3.65</v>
      </c>
      <c r="K20" t="n">
        <v>3.81</v>
      </c>
      <c r="L20" t="n">
        <v>4.03</v>
      </c>
      <c r="M20" t="n">
        <v>4.24</v>
      </c>
      <c r="N20" t="n">
        <v>4.79</v>
      </c>
      <c r="O20" t="n">
        <v>4.83</v>
      </c>
    </row>
    <row r="21">
      <c r="A21" s="3" t="n">
        <v>46050</v>
      </c>
      <c r="B21" t="n">
        <v>3.76</v>
      </c>
      <c r="C21" t="n">
        <v>3.72</v>
      </c>
      <c r="D21" t="n">
        <v>3.71</v>
      </c>
      <c r="E21" t="n">
        <v>3.68</v>
      </c>
      <c r="F21" t="n">
        <v>3.7</v>
      </c>
      <c r="G21" t="n">
        <v>3.63</v>
      </c>
      <c r="H21" t="n">
        <v>3.52</v>
      </c>
      <c r="I21" t="n">
        <v>3.56</v>
      </c>
      <c r="J21" t="n">
        <v>3.66</v>
      </c>
      <c r="K21" t="n">
        <v>3.83</v>
      </c>
      <c r="L21" t="n">
        <v>4.05</v>
      </c>
      <c r="M21" t="n">
        <v>4.26</v>
      </c>
      <c r="N21" t="n">
        <v>4.81</v>
      </c>
      <c r="O21" t="n">
        <v>4.85</v>
      </c>
    </row>
    <row r="22">
      <c r="A22" s="3" t="n">
        <v>46051</v>
      </c>
      <c r="B22" t="n">
        <v>3.72</v>
      </c>
      <c r="C22" t="n">
        <v>3.73</v>
      </c>
      <c r="D22" t="n">
        <v>3.75</v>
      </c>
      <c r="E22" t="n">
        <v>3.67</v>
      </c>
      <c r="F22" t="n">
        <v>3.69</v>
      </c>
      <c r="G22" t="n">
        <v>3.62</v>
      </c>
      <c r="H22" t="n">
        <v>3.5</v>
      </c>
      <c r="I22" t="n">
        <v>3.53</v>
      </c>
      <c r="J22" t="n">
        <v>3.63</v>
      </c>
      <c r="K22" t="n">
        <v>3.8</v>
      </c>
      <c r="L22" t="n">
        <v>4.01</v>
      </c>
      <c r="M22" t="n">
        <v>4.24</v>
      </c>
      <c r="N22" t="n">
        <v>4.8</v>
      </c>
      <c r="O22" t="n">
        <v>4.85</v>
      </c>
    </row>
    <row r="23">
      <c r="A23" s="3" t="n">
        <v>46052</v>
      </c>
      <c r="B23" t="n">
        <v>3.72</v>
      </c>
      <c r="C23" t="n">
        <v>3.73</v>
      </c>
      <c r="D23" t="n">
        <v>3.75</v>
      </c>
      <c r="E23" t="n">
        <v>3.67</v>
      </c>
      <c r="F23" t="n">
        <v>3.69</v>
      </c>
      <c r="G23" t="n">
        <v>3.61</v>
      </c>
      <c r="H23" t="n">
        <v>3.48</v>
      </c>
      <c r="I23" t="n">
        <v>3.52</v>
      </c>
      <c r="J23" t="n">
        <v>3.6</v>
      </c>
      <c r="K23" t="n">
        <v>3.79</v>
      </c>
      <c r="L23" t="n">
        <v>4.01</v>
      </c>
      <c r="M23" t="n">
        <v>4.26</v>
      </c>
      <c r="N23" t="n">
        <v>4.82</v>
      </c>
      <c r="O23" t="n">
        <v>4.87</v>
      </c>
    </row>
    <row r="24">
      <c r="A24" s="3" t="n">
        <v>46055</v>
      </c>
      <c r="B24" t="n">
        <v>3.72</v>
      </c>
      <c r="C24" t="n">
        <v>3.72</v>
      </c>
      <c r="D24" t="n">
        <v>3.74</v>
      </c>
      <c r="E24" t="n">
        <v>3.69</v>
      </c>
      <c r="F24" t="n">
        <v>3.7</v>
      </c>
      <c r="G24" t="n">
        <v>3.62</v>
      </c>
      <c r="H24" t="n">
        <v>3.49</v>
      </c>
      <c r="I24" t="n">
        <v>3.57</v>
      </c>
      <c r="J24" t="n">
        <v>3.64</v>
      </c>
      <c r="K24" t="n">
        <v>3.83</v>
      </c>
      <c r="L24" t="n">
        <v>4.05</v>
      </c>
      <c r="M24" t="n">
        <v>4.29</v>
      </c>
      <c r="N24" t="n">
        <v>4.85</v>
      </c>
      <c r="O24" t="n">
        <v>4.9</v>
      </c>
    </row>
    <row r="25">
      <c r="A25" s="3" t="n">
        <v>46056</v>
      </c>
      <c r="B25" t="n">
        <v>3.72</v>
      </c>
      <c r="C25" t="n">
        <v>3.72</v>
      </c>
      <c r="D25" t="n">
        <v>3.74</v>
      </c>
      <c r="E25" t="n">
        <v>3.69</v>
      </c>
      <c r="F25" t="n">
        <v>3.7</v>
      </c>
      <c r="G25" t="n">
        <v>3.62</v>
      </c>
      <c r="H25" t="n">
        <v>3.49</v>
      </c>
      <c r="I25" t="n">
        <v>3.57</v>
      </c>
      <c r="J25" t="n">
        <v>3.64</v>
      </c>
      <c r="K25" t="n">
        <v>3.83</v>
      </c>
      <c r="L25" t="n">
        <v>4.04</v>
      </c>
      <c r="M25" t="n">
        <v>4.28</v>
      </c>
      <c r="N25" t="n">
        <v>4.85</v>
      </c>
      <c r="O25" t="n">
        <v>4.9</v>
      </c>
    </row>
    <row r="26">
      <c r="A26" s="3" t="n">
        <v>46057</v>
      </c>
      <c r="B26" t="n">
        <v>3.72</v>
      </c>
      <c r="C26" t="n">
        <v>3.72</v>
      </c>
      <c r="D26" t="n">
        <v>3.74</v>
      </c>
      <c r="E26" t="n">
        <v>3.69</v>
      </c>
      <c r="F26" t="n">
        <v>3.7</v>
      </c>
      <c r="G26" t="n">
        <v>3.62</v>
      </c>
      <c r="H26" t="n">
        <v>3.49</v>
      </c>
      <c r="I26" t="n">
        <v>3.57</v>
      </c>
      <c r="J26" t="n">
        <v>3.64</v>
      </c>
      <c r="K26" t="n">
        <v>3.83</v>
      </c>
      <c r="L26" t="n">
        <v>4.05</v>
      </c>
      <c r="M26" t="n">
        <v>4.29</v>
      </c>
      <c r="N26" t="n">
        <v>4.86</v>
      </c>
      <c r="O26" t="n">
        <v>4.91</v>
      </c>
    </row>
    <row r="27">
      <c r="A27" s="3" t="n">
        <v>46058</v>
      </c>
      <c r="B27" t="n">
        <v>3.72</v>
      </c>
      <c r="C27" t="n">
        <v>3.71</v>
      </c>
      <c r="D27" t="n">
        <v>3.74</v>
      </c>
      <c r="E27" t="n">
        <v>3.67</v>
      </c>
      <c r="F27" t="n">
        <v>3.68</v>
      </c>
      <c r="G27" t="n">
        <v>3.58</v>
      </c>
      <c r="H27" t="n">
        <v>3.44</v>
      </c>
      <c r="I27" t="n">
        <v>3.47</v>
      </c>
      <c r="J27" t="n">
        <v>3.55</v>
      </c>
      <c r="K27" t="n">
        <v>3.74</v>
      </c>
      <c r="L27" t="n">
        <v>3.97</v>
      </c>
      <c r="M27" t="n">
        <v>4.21</v>
      </c>
      <c r="N27" t="n">
        <v>4.79</v>
      </c>
      <c r="O27" t="n">
        <v>4.85</v>
      </c>
    </row>
    <row r="28">
      <c r="A28" s="3" t="n">
        <v>46059</v>
      </c>
      <c r="B28" t="n">
        <v>3.72</v>
      </c>
      <c r="C28" t="n">
        <v>3.72</v>
      </c>
      <c r="D28" t="n">
        <v>3.74</v>
      </c>
      <c r="E28" t="n">
        <v>3.68</v>
      </c>
      <c r="F28" t="n">
        <v>3.7</v>
      </c>
      <c r="G28" t="n">
        <v>3.59</v>
      </c>
      <c r="H28" t="n">
        <v>3.45</v>
      </c>
      <c r="I28" t="n">
        <v>3.5</v>
      </c>
      <c r="J28" t="n">
        <v>3.57</v>
      </c>
      <c r="K28" t="n">
        <v>3.76</v>
      </c>
      <c r="L28" t="n">
        <v>3.98</v>
      </c>
      <c r="M28" t="n">
        <v>4.22</v>
      </c>
      <c r="N28" t="n">
        <v>4.8</v>
      </c>
      <c r="O28" t="n">
        <v>4.85</v>
      </c>
    </row>
    <row r="29">
      <c r="A29" s="3" t="n">
        <v>46062</v>
      </c>
      <c r="B29" t="n">
        <v>3.72</v>
      </c>
      <c r="C29" t="n">
        <v>3.72</v>
      </c>
      <c r="D29" t="n">
        <v>3.73</v>
      </c>
      <c r="E29" t="n">
        <v>3.69</v>
      </c>
      <c r="F29" t="n">
        <v>3.7</v>
      </c>
      <c r="G29" t="n">
        <v>3.59</v>
      </c>
      <c r="H29" t="n">
        <v>3.43</v>
      </c>
      <c r="I29" t="n">
        <v>3.48</v>
      </c>
      <c r="J29" t="n">
        <v>3.56</v>
      </c>
      <c r="K29" t="n">
        <v>3.75</v>
      </c>
      <c r="L29" t="n">
        <v>3.97</v>
      </c>
      <c r="M29" t="n">
        <v>4.22</v>
      </c>
      <c r="N29" t="n">
        <v>4.79</v>
      </c>
      <c r="O29" t="n">
        <v>4.85</v>
      </c>
    </row>
    <row r="30">
      <c r="A30" s="3" t="n">
        <v>46063</v>
      </c>
      <c r="B30" t="n">
        <v>3.72</v>
      </c>
      <c r="C30" t="n">
        <v>3.72</v>
      </c>
      <c r="D30" t="n">
        <v>3.74</v>
      </c>
      <c r="E30" t="n">
        <v>3.69</v>
      </c>
      <c r="F30" t="n">
        <v>3.69</v>
      </c>
      <c r="G30" t="n">
        <v>3.58</v>
      </c>
      <c r="H30" t="n">
        <v>3.4</v>
      </c>
      <c r="I30" t="n">
        <v>3.45</v>
      </c>
      <c r="J30" t="n">
        <v>3.5</v>
      </c>
      <c r="K30" t="n">
        <v>3.7</v>
      </c>
      <c r="L30" t="n">
        <v>3.92</v>
      </c>
      <c r="M30" t="n">
        <v>4.16</v>
      </c>
      <c r="N30" t="n">
        <v>4.73</v>
      </c>
      <c r="O30" t="n">
        <v>4.78</v>
      </c>
    </row>
    <row r="31">
      <c r="A31" s="3" t="n">
        <v>46064</v>
      </c>
      <c r="B31" t="n">
        <v>3.71</v>
      </c>
      <c r="C31" t="n">
        <v>3.71</v>
      </c>
      <c r="D31" t="n">
        <v>3.73</v>
      </c>
      <c r="E31" t="n">
        <v>3.7</v>
      </c>
      <c r="F31" t="n">
        <v>3.7</v>
      </c>
      <c r="G31" t="n">
        <v>3.6</v>
      </c>
      <c r="H31" t="n">
        <v>3.47</v>
      </c>
      <c r="I31" t="n">
        <v>3.52</v>
      </c>
      <c r="J31" t="n">
        <v>3.55</v>
      </c>
      <c r="K31" t="n">
        <v>3.75</v>
      </c>
      <c r="L31" t="n">
        <v>3.96</v>
      </c>
      <c r="M31" t="n">
        <v>4.18</v>
      </c>
      <c r="N31" t="n">
        <v>4.76</v>
      </c>
      <c r="O31" t="n">
        <v>4.82</v>
      </c>
    </row>
    <row r="32">
      <c r="A32" s="3" t="n">
        <v>46065</v>
      </c>
      <c r="B32" t="n">
        <v>3.72</v>
      </c>
      <c r="C32" t="n">
        <v>3.71</v>
      </c>
      <c r="D32" t="n">
        <v>3.74</v>
      </c>
      <c r="E32" t="n">
        <v>3.7</v>
      </c>
      <c r="F32" t="n">
        <v>3.7</v>
      </c>
      <c r="G32" t="n">
        <v>3.58</v>
      </c>
      <c r="H32" t="n">
        <v>3.45</v>
      </c>
      <c r="I32" t="n">
        <v>3.47</v>
      </c>
      <c r="J32" t="n">
        <v>3.49</v>
      </c>
      <c r="K32" t="n">
        <v>3.67</v>
      </c>
      <c r="L32" t="n">
        <v>3.87</v>
      </c>
      <c r="M32" t="n">
        <v>4.09</v>
      </c>
      <c r="N32" t="n">
        <v>4.68</v>
      </c>
      <c r="O32" t="n">
        <v>4.72</v>
      </c>
    </row>
    <row r="33">
      <c r="A33" s="3" t="n">
        <v>46066</v>
      </c>
      <c r="B33" t="n">
        <v>3.72</v>
      </c>
      <c r="C33" t="n">
        <v>3.71</v>
      </c>
      <c r="D33" t="n">
        <v>3.73</v>
      </c>
      <c r="E33" t="n">
        <v>3.68</v>
      </c>
      <c r="F33" t="n">
        <v>3.7</v>
      </c>
      <c r="G33" t="n">
        <v>3.59</v>
      </c>
      <c r="H33" t="n">
        <v>3.42</v>
      </c>
      <c r="I33" t="n">
        <v>3.4</v>
      </c>
      <c r="J33" t="n">
        <v>3.43</v>
      </c>
      <c r="K33" t="n">
        <v>3.61</v>
      </c>
      <c r="L33" t="n">
        <v>3.81</v>
      </c>
      <c r="M33" t="n">
        <v>4.04</v>
      </c>
      <c r="N33" t="n">
        <v>4.64</v>
      </c>
      <c r="O33" t="n">
        <v>4.69</v>
      </c>
    </row>
    <row r="34">
      <c r="A34" s="3" t="n">
        <v>46070</v>
      </c>
      <c r="B34" t="n">
        <v>3.72</v>
      </c>
      <c r="C34" t="n">
        <v>3.75</v>
      </c>
      <c r="D34" t="n">
        <v>3.73</v>
      </c>
      <c r="E34" t="n">
        <v>3.69</v>
      </c>
      <c r="F34" t="n">
        <v>3.7</v>
      </c>
      <c r="G34" t="n">
        <v>3.59</v>
      </c>
      <c r="H34" t="n">
        <v>3.48</v>
      </c>
      <c r="I34" t="n">
        <v>3.43</v>
      </c>
      <c r="J34" t="n">
        <v>3.47</v>
      </c>
      <c r="K34" t="n">
        <v>3.63</v>
      </c>
      <c r="L34" t="n">
        <v>3.82</v>
      </c>
      <c r="M34" t="n">
        <v>4.05</v>
      </c>
      <c r="N34" t="n">
        <v>4.63</v>
      </c>
      <c r="O34" t="n">
        <v>4.68</v>
      </c>
    </row>
    <row r="35">
      <c r="A35" s="3" t="n">
        <v>46071</v>
      </c>
      <c r="B35" t="n">
        <v>3.71</v>
      </c>
      <c r="C35" t="n">
        <v>3.74</v>
      </c>
      <c r="D35" t="n">
        <v>3.73</v>
      </c>
      <c r="E35" t="n">
        <v>3.7</v>
      </c>
      <c r="F35" t="n">
        <v>3.7</v>
      </c>
      <c r="G35" t="n">
        <v>3.6</v>
      </c>
      <c r="H35" t="n">
        <v>3.49</v>
      </c>
      <c r="I35" t="n">
        <v>3.47</v>
      </c>
      <c r="J35" t="n">
        <v>3.5</v>
      </c>
      <c r="K35" t="n">
        <v>3.66</v>
      </c>
      <c r="L35" t="n">
        <v>3.86</v>
      </c>
      <c r="M35" t="n">
        <v>4.09</v>
      </c>
      <c r="N35" t="n">
        <v>4.65</v>
      </c>
      <c r="O35" t="n">
        <v>4.71</v>
      </c>
    </row>
    <row r="36">
      <c r="A36" s="3" t="n">
        <v>46072</v>
      </c>
      <c r="B36" t="n">
        <v>3.72</v>
      </c>
      <c r="C36" t="n">
        <v>3.74</v>
      </c>
      <c r="D36" t="n">
        <v>3.75</v>
      </c>
      <c r="E36" t="n">
        <v>3.69</v>
      </c>
      <c r="F36" t="n">
        <v>3.7</v>
      </c>
      <c r="G36" t="n">
        <v>3.6</v>
      </c>
      <c r="H36" t="n">
        <v>3.5</v>
      </c>
      <c r="I36" t="n">
        <v>3.47</v>
      </c>
      <c r="J36" t="n">
        <v>3.5</v>
      </c>
      <c r="K36" t="n">
        <v>3.65</v>
      </c>
      <c r="L36" t="n">
        <v>3.85</v>
      </c>
      <c r="M36" t="n">
        <v>4.08</v>
      </c>
      <c r="N36" t="n">
        <v>4.64</v>
      </c>
      <c r="O36" t="n">
        <v>4.7</v>
      </c>
    </row>
    <row r="37">
      <c r="A37" s="3" t="n">
        <v>46073</v>
      </c>
      <c r="B37" t="n">
        <v>3.72</v>
      </c>
      <c r="C37" t="n">
        <v>3.73</v>
      </c>
      <c r="D37" t="n">
        <v>3.74</v>
      </c>
      <c r="E37" t="n">
        <v>3.69</v>
      </c>
      <c r="F37" t="n">
        <v>3.71</v>
      </c>
      <c r="G37" t="n">
        <v>3.61</v>
      </c>
      <c r="H37" t="n">
        <v>3.51</v>
      </c>
      <c r="I37" t="n">
        <v>3.48</v>
      </c>
      <c r="J37" t="n">
        <v>3.5</v>
      </c>
      <c r="K37" t="n">
        <v>3.65</v>
      </c>
      <c r="L37" t="n">
        <v>3.85</v>
      </c>
      <c r="M37" t="n">
        <v>4.08</v>
      </c>
      <c r="N37" t="n">
        <v>4.66</v>
      </c>
      <c r="O37" t="n">
        <v>4.72</v>
      </c>
    </row>
    <row r="38">
      <c r="A38" s="3" t="n">
        <v>46076</v>
      </c>
      <c r="B38" t="n">
        <v>3.72</v>
      </c>
      <c r="C38" t="n">
        <v>3.74</v>
      </c>
      <c r="D38" t="n">
        <v>3.74</v>
      </c>
      <c r="E38" t="n">
        <v>3.69</v>
      </c>
      <c r="F38" t="n">
        <v>3.7</v>
      </c>
      <c r="G38" t="n">
        <v>3.62</v>
      </c>
      <c r="H38" t="n">
        <v>3.5</v>
      </c>
      <c r="I38" t="n">
        <v>3.43</v>
      </c>
      <c r="J38" t="n">
        <v>3.45</v>
      </c>
      <c r="K38" t="n">
        <v>3.59</v>
      </c>
      <c r="L38" t="n">
        <v>3.79</v>
      </c>
      <c r="M38" t="n">
        <v>4.03</v>
      </c>
      <c r="N38" t="n">
        <v>4.63</v>
      </c>
      <c r="O38" t="n">
        <v>4.7</v>
      </c>
    </row>
    <row r="39">
      <c r="A39" s="3" t="n">
        <v>46077</v>
      </c>
      <c r="B39" t="n">
        <v>3.72</v>
      </c>
      <c r="C39" t="n">
        <v>3.75</v>
      </c>
      <c r="D39" t="n">
        <v>3.73</v>
      </c>
      <c r="E39" t="n">
        <v>3.69</v>
      </c>
      <c r="F39" t="n">
        <v>3.7</v>
      </c>
      <c r="G39" t="n">
        <v>3.62</v>
      </c>
      <c r="H39" t="n">
        <v>3.52</v>
      </c>
      <c r="I39" t="n">
        <v>3.43</v>
      </c>
      <c r="J39" t="n">
        <v>3.47</v>
      </c>
      <c r="K39" t="n">
        <v>3.61</v>
      </c>
      <c r="L39" t="n">
        <v>3.81</v>
      </c>
      <c r="M39" t="n">
        <v>4.04</v>
      </c>
      <c r="N39" t="n">
        <v>4.63</v>
      </c>
      <c r="O39" t="n">
        <v>4.7</v>
      </c>
    </row>
    <row r="40">
      <c r="A40" s="3" t="n">
        <v>46078</v>
      </c>
      <c r="B40" t="n">
        <v>3.71</v>
      </c>
      <c r="C40" t="n">
        <v>3.74</v>
      </c>
      <c r="D40" t="n">
        <v>3.73</v>
      </c>
      <c r="E40" t="n">
        <v>3.69</v>
      </c>
      <c r="F40" t="n">
        <v>3.68</v>
      </c>
      <c r="G40" t="n">
        <v>3.62</v>
      </c>
      <c r="H40" t="n">
        <v>3.53</v>
      </c>
      <c r="I40" t="n">
        <v>3.45</v>
      </c>
      <c r="J40" t="n">
        <v>3.49</v>
      </c>
      <c r="K40" t="n">
        <v>3.61</v>
      </c>
      <c r="L40" t="n">
        <v>3.82</v>
      </c>
      <c r="M40" t="n">
        <v>4.05</v>
      </c>
      <c r="N40" t="n">
        <v>4.63</v>
      </c>
      <c r="O40" t="n">
        <v>4.7</v>
      </c>
    </row>
    <row r="41">
      <c r="A41" s="3" t="n">
        <v>46079</v>
      </c>
      <c r="B41" t="n">
        <v>3.74</v>
      </c>
      <c r="C41" t="n">
        <v>3.74</v>
      </c>
      <c r="D41" t="n">
        <v>3.75</v>
      </c>
      <c r="E41" t="n">
        <v>3.68</v>
      </c>
      <c r="F41" t="n">
        <v>3.68</v>
      </c>
      <c r="G41" t="n">
        <v>3.61</v>
      </c>
      <c r="H41" t="n">
        <v>3.52</v>
      </c>
      <c r="I41" t="n">
        <v>3.42</v>
      </c>
      <c r="J41" t="n">
        <v>3.46</v>
      </c>
      <c r="K41" t="n">
        <v>3.57</v>
      </c>
      <c r="L41" t="n">
        <v>3.78</v>
      </c>
      <c r="M41" t="n">
        <v>4.02</v>
      </c>
      <c r="N41" t="n">
        <v>4.6</v>
      </c>
      <c r="O41" t="n">
        <v>4.67</v>
      </c>
    </row>
    <row r="42">
      <c r="A42" s="3" t="n">
        <v>46080</v>
      </c>
      <c r="B42" t="n">
        <v>3.74</v>
      </c>
      <c r="C42" t="n">
        <v>3.73</v>
      </c>
      <c r="D42" t="n">
        <v>3.73</v>
      </c>
      <c r="E42" t="n">
        <v>3.67</v>
      </c>
      <c r="F42" t="n">
        <v>3.67</v>
      </c>
      <c r="G42" t="n">
        <v>3.6</v>
      </c>
      <c r="H42" t="n">
        <v>3.48</v>
      </c>
      <c r="I42" t="n">
        <v>3.38</v>
      </c>
      <c r="J42" t="n">
        <v>3.39</v>
      </c>
      <c r="K42" t="n">
        <v>3.51</v>
      </c>
      <c r="L42" t="n">
        <v>3.72</v>
      </c>
      <c r="M42" t="n">
        <v>3.97</v>
      </c>
      <c r="N42" t="n">
        <v>4.57</v>
      </c>
      <c r="O42" t="n">
        <v>4.64</v>
      </c>
    </row>
    <row r="43">
      <c r="A43" s="3" t="n">
        <v>46083</v>
      </c>
      <c r="B43" t="n">
        <v>3.74</v>
      </c>
      <c r="C43" t="n">
        <v>3.74</v>
      </c>
      <c r="D43" t="n">
        <v>3.74</v>
      </c>
      <c r="E43" t="n">
        <v>3.72</v>
      </c>
      <c r="F43" t="n">
        <v>3.68</v>
      </c>
      <c r="G43" t="n">
        <v>3.68</v>
      </c>
      <c r="H43" t="n">
        <v>3.54</v>
      </c>
      <c r="I43" t="n">
        <v>3.47</v>
      </c>
      <c r="J43" t="n">
        <v>3.49</v>
      </c>
      <c r="K43" t="n">
        <v>3.62</v>
      </c>
      <c r="L43" t="n">
        <v>3.82</v>
      </c>
      <c r="M43" t="n">
        <v>4.05</v>
      </c>
      <c r="N43" t="n">
        <v>4.64</v>
      </c>
      <c r="O43" t="n">
        <v>4.7</v>
      </c>
    </row>
    <row r="44">
      <c r="A44" s="3" t="n">
        <v>46084</v>
      </c>
      <c r="B44" t="n">
        <v>3.75</v>
      </c>
      <c r="C44" t="n">
        <v>3.75</v>
      </c>
      <c r="D44" t="n">
        <v>3.74</v>
      </c>
      <c r="E44" t="n">
        <v>3.71</v>
      </c>
      <c r="F44" t="n">
        <v>3.67</v>
      </c>
      <c r="G44" t="n">
        <v>3.68</v>
      </c>
      <c r="H44" t="n">
        <v>3.55</v>
      </c>
      <c r="I44" t="n">
        <v>3.51</v>
      </c>
      <c r="J44" t="n">
        <v>3.5</v>
      </c>
      <c r="K44" t="n">
        <v>3.63</v>
      </c>
      <c r="L44" t="n">
        <v>3.83</v>
      </c>
      <c r="M44" t="n">
        <v>4.06</v>
      </c>
      <c r="N44" t="n">
        <v>4.65</v>
      </c>
      <c r="O44" t="n">
        <v>4.7</v>
      </c>
    </row>
    <row r="45">
      <c r="A45" s="3" t="n">
        <v>46085</v>
      </c>
      <c r="B45" t="n">
        <v>3.75</v>
      </c>
      <c r="C45" t="n">
        <v>3.75</v>
      </c>
      <c r="D45" t="n">
        <v>3.75</v>
      </c>
      <c r="E45" t="n">
        <v>3.71</v>
      </c>
      <c r="F45" t="n">
        <v>3.68</v>
      </c>
      <c r="G45" t="n">
        <v>3.68</v>
      </c>
      <c r="H45" t="n">
        <v>3.58</v>
      </c>
      <c r="I45" t="n">
        <v>3.54</v>
      </c>
      <c r="J45" t="n">
        <v>3.55</v>
      </c>
      <c r="K45" t="n">
        <v>3.67</v>
      </c>
      <c r="L45" t="n">
        <v>3.87</v>
      </c>
      <c r="M45" t="n">
        <v>4.09</v>
      </c>
      <c r="N45" t="n">
        <v>4.67</v>
      </c>
      <c r="O45" t="n">
        <v>4.72</v>
      </c>
    </row>
    <row r="46">
      <c r="A46" s="3" t="n">
        <v>46086</v>
      </c>
      <c r="B46" t="n">
        <v>3.75</v>
      </c>
      <c r="C46" t="n">
        <v>3.74</v>
      </c>
      <c r="D46" t="n">
        <v>3.72</v>
      </c>
      <c r="E46" t="n">
        <v>3.7</v>
      </c>
      <c r="F46" t="n">
        <v>3.68</v>
      </c>
      <c r="G46" t="n">
        <v>3.68</v>
      </c>
      <c r="H46" t="n">
        <v>3.59</v>
      </c>
      <c r="I46" t="n">
        <v>3.57</v>
      </c>
      <c r="J46" t="n">
        <v>3.59</v>
      </c>
      <c r="K46" t="n">
        <v>3.72</v>
      </c>
      <c r="L46" t="n">
        <v>3.92</v>
      </c>
      <c r="M46" t="n">
        <v>4.13</v>
      </c>
      <c r="N46" t="n">
        <v>4.71</v>
      </c>
      <c r="O46" t="n">
        <v>4.74</v>
      </c>
    </row>
    <row r="47">
      <c r="A47" s="3" t="n">
        <v>46087</v>
      </c>
      <c r="B47" t="n">
        <v>3.75</v>
      </c>
      <c r="C47" t="n">
        <v>3.74</v>
      </c>
      <c r="D47" t="n">
        <v>3.72</v>
      </c>
      <c r="E47" t="n">
        <v>3.69</v>
      </c>
      <c r="F47" t="n">
        <v>3.67</v>
      </c>
      <c r="G47" t="n">
        <v>3.66</v>
      </c>
      <c r="H47" t="n">
        <v>3.55</v>
      </c>
      <c r="I47" t="n">
        <v>3.56</v>
      </c>
      <c r="J47" t="n">
        <v>3.59</v>
      </c>
      <c r="K47" t="n">
        <v>3.72</v>
      </c>
      <c r="L47" t="n">
        <v>3.93</v>
      </c>
      <c r="M47" t="n">
        <v>4.15</v>
      </c>
      <c r="N47" t="n">
        <v>4.74</v>
      </c>
      <c r="O47" t="n">
        <v>4.77</v>
      </c>
    </row>
    <row r="48">
      <c r="A48" s="3" t="n">
        <v>46090</v>
      </c>
      <c r="B48" t="n">
        <v>3.75</v>
      </c>
      <c r="C48" t="n">
        <v>3.73</v>
      </c>
      <c r="D48" t="n">
        <v>3.72</v>
      </c>
      <c r="E48" t="n">
        <v>3.71</v>
      </c>
      <c r="F48" t="n">
        <v>3.68</v>
      </c>
      <c r="G48" t="n">
        <v>3.68</v>
      </c>
      <c r="H48" t="n">
        <v>3.56</v>
      </c>
      <c r="I48" t="n">
        <v>3.56</v>
      </c>
      <c r="J48" t="n">
        <v>3.58</v>
      </c>
      <c r="K48" t="n">
        <v>3.71</v>
      </c>
      <c r="L48" t="n">
        <v>3.9</v>
      </c>
      <c r="M48" t="n">
        <v>4.12</v>
      </c>
      <c r="N48" t="n">
        <v>4.7</v>
      </c>
      <c r="O48" t="n">
        <v>4.72</v>
      </c>
    </row>
    <row r="49">
      <c r="A49" s="3" t="n">
        <v>46091</v>
      </c>
      <c r="B49" t="n">
        <v>3.75</v>
      </c>
      <c r="C49" t="n">
        <v>3.74</v>
      </c>
      <c r="D49" t="n">
        <v>3.71</v>
      </c>
      <c r="E49" t="n">
        <v>3.71</v>
      </c>
      <c r="F49" t="n">
        <v>3.69</v>
      </c>
      <c r="G49" t="n">
        <v>3.68</v>
      </c>
      <c r="H49" t="n">
        <v>3.56</v>
      </c>
      <c r="I49" t="n">
        <v>3.57</v>
      </c>
      <c r="J49" t="n">
        <v>3.58</v>
      </c>
      <c r="K49" t="n">
        <v>3.73</v>
      </c>
      <c r="L49" t="n">
        <v>3.93</v>
      </c>
      <c r="M49" t="n">
        <v>4.15</v>
      </c>
      <c r="N49" t="n">
        <v>4.74</v>
      </c>
      <c r="O49" t="n">
        <v>4.78</v>
      </c>
    </row>
    <row r="50">
      <c r="A50" s="3" t="n">
        <v>46092</v>
      </c>
      <c r="B50" t="n">
        <v>3.75</v>
      </c>
      <c r="C50" t="n">
        <v>3.73</v>
      </c>
      <c r="D50" t="n">
        <v>3.7</v>
      </c>
      <c r="E50" t="n">
        <v>3.71</v>
      </c>
      <c r="F50" t="n">
        <v>3.69</v>
      </c>
      <c r="G50" t="n">
        <v>3.68</v>
      </c>
      <c r="H50" t="n">
        <v>3.6</v>
      </c>
      <c r="I50" t="n">
        <v>3.64</v>
      </c>
      <c r="J50" t="n">
        <v>3.64</v>
      </c>
      <c r="K50" t="n">
        <v>3.79</v>
      </c>
      <c r="L50" t="n">
        <v>3.98</v>
      </c>
      <c r="M50" t="n">
        <v>4.21</v>
      </c>
      <c r="N50" t="n">
        <v>4.82</v>
      </c>
      <c r="O50" t="n">
        <v>4.86</v>
      </c>
    </row>
    <row r="51">
      <c r="A51" s="3" t="n">
        <v>46093</v>
      </c>
      <c r="B51" t="n">
        <v>3.76</v>
      </c>
      <c r="C51" t="n">
        <v>3.74</v>
      </c>
      <c r="D51" t="n">
        <v>3.72</v>
      </c>
      <c r="E51" t="n">
        <v>3.72</v>
      </c>
      <c r="F51" t="n">
        <v>3.69</v>
      </c>
      <c r="G51" t="n">
        <v>3.7</v>
      </c>
      <c r="H51" t="n">
        <v>3.66</v>
      </c>
      <c r="I51" t="n">
        <v>3.76</v>
      </c>
      <c r="J51" t="n">
        <v>3.75</v>
      </c>
      <c r="K51" t="n">
        <v>3.88</v>
      </c>
      <c r="L51" t="n">
        <v>4.06</v>
      </c>
      <c r="M51" t="n">
        <v>4.27</v>
      </c>
      <c r="N51" t="n">
        <v>4.86</v>
      </c>
      <c r="O51" t="n">
        <v>4.88</v>
      </c>
    </row>
    <row r="52">
      <c r="A52" s="3" t="n">
        <v>46094</v>
      </c>
      <c r="B52" t="n">
        <v>3.75</v>
      </c>
      <c r="C52" t="n">
        <v>3.74</v>
      </c>
      <c r="D52" t="n">
        <v>3.71</v>
      </c>
      <c r="E52" t="n">
        <v>3.72</v>
      </c>
      <c r="F52" t="n">
        <v>3.69</v>
      </c>
      <c r="G52" t="n">
        <v>3.7</v>
      </c>
      <c r="H52" t="n">
        <v>3.66</v>
      </c>
      <c r="I52" t="n">
        <v>3.73</v>
      </c>
      <c r="J52" t="n">
        <v>3.74</v>
      </c>
      <c r="K52" t="n">
        <v>3.87</v>
      </c>
      <c r="L52" t="n">
        <v>4.07</v>
      </c>
      <c r="M52" t="n">
        <v>4.28</v>
      </c>
      <c r="N52" t="n">
        <v>4.89</v>
      </c>
      <c r="O52" t="n">
        <v>4.9</v>
      </c>
    </row>
    <row r="53">
      <c r="A53" s="3" t="n">
        <v>46097</v>
      </c>
      <c r="B53" t="n">
        <v>3.75</v>
      </c>
      <c r="C53" t="n">
        <v>3.73</v>
      </c>
      <c r="D53" t="n">
        <v>3.72</v>
      </c>
      <c r="E53" t="n">
        <v>3.72</v>
      </c>
      <c r="F53" t="n">
        <v>3.69</v>
      </c>
      <c r="G53" t="n">
        <v>3.72</v>
      </c>
      <c r="H53" t="n">
        <v>3.64</v>
      </c>
      <c r="I53" t="n">
        <v>3.68</v>
      </c>
      <c r="J53" t="n">
        <v>3.69</v>
      </c>
      <c r="K53" t="n">
        <v>3.8</v>
      </c>
      <c r="L53" t="n">
        <v>4</v>
      </c>
      <c r="M53" t="n">
        <v>4.23</v>
      </c>
      <c r="N53" t="n">
        <v>4.83</v>
      </c>
      <c r="O53" t="n">
        <v>4.86</v>
      </c>
    </row>
    <row r="54">
      <c r="A54" s="3" t="n">
        <v>46098</v>
      </c>
      <c r="B54" t="n">
        <v>3.74</v>
      </c>
      <c r="C54" t="n">
        <v>3.72</v>
      </c>
      <c r="D54" t="n">
        <v>3.72</v>
      </c>
      <c r="E54" t="n">
        <v>3.72</v>
      </c>
      <c r="F54" t="n">
        <v>3.69</v>
      </c>
      <c r="G54" t="n">
        <v>3.71</v>
      </c>
      <c r="H54" t="n">
        <v>3.63</v>
      </c>
      <c r="I54" t="n">
        <v>3.68</v>
      </c>
      <c r="J54" t="n">
        <v>3.68</v>
      </c>
      <c r="K54" t="n">
        <v>3.79</v>
      </c>
      <c r="L54" t="n">
        <v>3.98</v>
      </c>
      <c r="M54" t="n">
        <v>4.2</v>
      </c>
      <c r="N54" t="n">
        <v>4.81</v>
      </c>
      <c r="O54" t="n">
        <v>4.85</v>
      </c>
    </row>
    <row r="55">
      <c r="A55" s="3" t="n">
        <v>46099</v>
      </c>
      <c r="B55" t="n">
        <v>3.73</v>
      </c>
      <c r="C55" t="n">
        <v>3.72</v>
      </c>
      <c r="D55" t="n">
        <v>3.72</v>
      </c>
      <c r="E55" t="n">
        <v>3.73</v>
      </c>
      <c r="F55" t="n">
        <v>3.71</v>
      </c>
      <c r="G55" t="n">
        <v>3.74</v>
      </c>
      <c r="H55" t="n">
        <v>3.68</v>
      </c>
      <c r="I55" t="n">
        <v>3.76</v>
      </c>
      <c r="J55" t="n">
        <v>3.76</v>
      </c>
      <c r="K55" t="n">
        <v>3.87</v>
      </c>
      <c r="L55" t="n">
        <v>4.05</v>
      </c>
      <c r="M55" t="n">
        <v>4.26</v>
      </c>
      <c r="N55" t="n">
        <v>4.84</v>
      </c>
      <c r="O55" t="n">
        <v>4.88</v>
      </c>
    </row>
    <row r="56">
      <c r="A56" s="3" t="n">
        <v>46100</v>
      </c>
      <c r="B56" t="n">
        <v>3.73</v>
      </c>
      <c r="C56" t="n">
        <v>3.71</v>
      </c>
      <c r="D56" t="n">
        <v>3.72</v>
      </c>
      <c r="E56" t="n">
        <v>3.73</v>
      </c>
      <c r="F56" t="n">
        <v>3.71</v>
      </c>
      <c r="G56" t="n">
        <v>3.76</v>
      </c>
      <c r="H56" t="n">
        <v>3.73</v>
      </c>
      <c r="I56" t="n">
        <v>3.79</v>
      </c>
      <c r="J56" t="n">
        <v>3.79</v>
      </c>
      <c r="K56" t="n">
        <v>3.88</v>
      </c>
      <c r="L56" t="n">
        <v>4.06</v>
      </c>
      <c r="M56" t="n">
        <v>4.25</v>
      </c>
      <c r="N56" t="n">
        <v>4.82</v>
      </c>
      <c r="O56" t="n">
        <v>4.83</v>
      </c>
    </row>
    <row r="57">
      <c r="A57" s="3" t="n">
        <v>46101</v>
      </c>
      <c r="B57" t="n">
        <v>3.73</v>
      </c>
      <c r="C57" t="n">
        <v>3.71</v>
      </c>
      <c r="D57" t="n">
        <v>3.72</v>
      </c>
      <c r="E57" t="n">
        <v>3.74</v>
      </c>
      <c r="F57" t="n">
        <v>3.73</v>
      </c>
      <c r="G57" t="n">
        <v>3.79</v>
      </c>
      <c r="H57" t="n">
        <v>3.8</v>
      </c>
      <c r="I57" t="n">
        <v>3.88</v>
      </c>
      <c r="J57" t="n">
        <v>3.9</v>
      </c>
      <c r="K57" t="n">
        <v>4.01</v>
      </c>
      <c r="L57" t="n">
        <v>4.2</v>
      </c>
      <c r="M57" t="n">
        <v>4.39</v>
      </c>
      <c r="N57" t="n">
        <v>4.97</v>
      </c>
      <c r="O57" t="n">
        <v>4.96</v>
      </c>
    </row>
    <row r="58">
      <c r="A58" s="3" t="n">
        <v>46104</v>
      </c>
      <c r="B58" t="n">
        <v>3.73</v>
      </c>
      <c r="C58" t="n">
        <v>3.71</v>
      </c>
      <c r="D58" t="n">
        <v>3.72</v>
      </c>
      <c r="E58" t="n">
        <v>3.74</v>
      </c>
      <c r="F58" t="n">
        <v>3.72</v>
      </c>
      <c r="G58" t="n">
        <v>3.77</v>
      </c>
      <c r="H58" t="n">
        <v>3.76</v>
      </c>
      <c r="I58" t="n">
        <v>3.83</v>
      </c>
      <c r="J58" t="n">
        <v>3.85</v>
      </c>
      <c r="K58" t="n">
        <v>3.95</v>
      </c>
      <c r="L58" t="n">
        <v>4.15</v>
      </c>
      <c r="M58" t="n">
        <v>4.34</v>
      </c>
      <c r="N58" t="n">
        <v>4.93</v>
      </c>
      <c r="O58" t="n">
        <v>4.91</v>
      </c>
    </row>
    <row r="59">
      <c r="A59" s="3" t="n">
        <v>46105</v>
      </c>
      <c r="B59" t="n">
        <v>3.74</v>
      </c>
      <c r="C59" t="n">
        <v>3.72</v>
      </c>
      <c r="D59" t="n">
        <v>3.72</v>
      </c>
      <c r="E59" t="n">
        <v>3.74</v>
      </c>
      <c r="F59" t="n">
        <v>3.73</v>
      </c>
      <c r="G59" t="n">
        <v>3.78</v>
      </c>
      <c r="H59" t="n">
        <v>3.81</v>
      </c>
      <c r="I59" t="n">
        <v>3.9</v>
      </c>
      <c r="J59" t="n">
        <v>3.93</v>
      </c>
      <c r="K59" t="n">
        <v>4.03</v>
      </c>
      <c r="L59" t="n">
        <v>4.21</v>
      </c>
      <c r="M59" t="n">
        <v>4.39</v>
      </c>
      <c r="N59" t="n">
        <v>4.95</v>
      </c>
      <c r="O59" t="n">
        <v>4.94</v>
      </c>
    </row>
    <row r="60">
      <c r="A60" s="3" t="n">
        <v>46106</v>
      </c>
      <c r="B60" t="n">
        <v>3.73</v>
      </c>
      <c r="C60" t="n">
        <v>3.72</v>
      </c>
      <c r="D60" t="n">
        <v>3.72</v>
      </c>
      <c r="E60" t="n">
        <v>3.73</v>
      </c>
      <c r="F60" t="n">
        <v>3.72</v>
      </c>
      <c r="G60" t="n">
        <v>3.76</v>
      </c>
      <c r="H60" t="n">
        <v>3.77</v>
      </c>
      <c r="I60" t="n">
        <v>3.84</v>
      </c>
      <c r="J60" t="n">
        <v>3.88</v>
      </c>
      <c r="K60" t="n">
        <v>3.96</v>
      </c>
      <c r="L60" t="n">
        <v>4.15</v>
      </c>
      <c r="M60" t="n">
        <v>4.33</v>
      </c>
      <c r="N60" t="n">
        <v>4.9</v>
      </c>
      <c r="O60" t="n">
        <v>4.89</v>
      </c>
    </row>
    <row r="61">
      <c r="A61" s="3" t="n">
        <v>46107</v>
      </c>
      <c r="B61" t="n">
        <v>3.74</v>
      </c>
      <c r="C61" t="n">
        <v>3.73</v>
      </c>
      <c r="D61" t="n">
        <v>3.73</v>
      </c>
      <c r="E61" t="n">
        <v>3.73</v>
      </c>
      <c r="F61" t="n">
        <v>3.73</v>
      </c>
      <c r="G61" t="n">
        <v>3.77</v>
      </c>
      <c r="H61" t="n">
        <v>3.83</v>
      </c>
      <c r="I61" t="n">
        <v>3.96</v>
      </c>
      <c r="J61" t="n">
        <v>4</v>
      </c>
      <c r="K61" t="n">
        <v>4.08</v>
      </c>
      <c r="L61" t="n">
        <v>4.25</v>
      </c>
      <c r="M61" t="n">
        <v>4.42</v>
      </c>
      <c r="N61" t="n">
        <v>4.96</v>
      </c>
      <c r="O61" t="n">
        <v>4.93</v>
      </c>
    </row>
    <row r="62">
      <c r="A62" s="3" t="n">
        <v>46108</v>
      </c>
      <c r="B62" t="n">
        <v>3.74</v>
      </c>
      <c r="C62" t="n">
        <v>3.73</v>
      </c>
      <c r="D62" t="n">
        <v>3.72</v>
      </c>
      <c r="E62" t="n">
        <v>3.73</v>
      </c>
      <c r="F62" t="n">
        <v>3.72</v>
      </c>
      <c r="G62" t="n">
        <v>3.75</v>
      </c>
      <c r="H62" t="n">
        <v>3.77</v>
      </c>
      <c r="I62" t="n">
        <v>3.88</v>
      </c>
      <c r="J62" t="n">
        <v>3.94</v>
      </c>
      <c r="K62" t="n">
        <v>4.06</v>
      </c>
      <c r="L62" t="n">
        <v>4.25</v>
      </c>
      <c r="M62" t="n">
        <v>4.44</v>
      </c>
      <c r="N62" t="n">
        <v>4.99</v>
      </c>
      <c r="O62" t="n">
        <v>4.98</v>
      </c>
    </row>
    <row r="63">
      <c r="A63" s="3" t="n">
        <v>46111</v>
      </c>
      <c r="B63" t="n">
        <v>3.74</v>
      </c>
      <c r="C63" t="n">
        <v>3.72</v>
      </c>
      <c r="D63" t="n">
        <v>3.71</v>
      </c>
      <c r="E63" t="n">
        <v>3.71</v>
      </c>
      <c r="F63" t="n">
        <v>3.71</v>
      </c>
      <c r="G63" t="n">
        <v>3.73</v>
      </c>
      <c r="H63" t="n">
        <v>3.71</v>
      </c>
      <c r="I63" t="n">
        <v>3.82</v>
      </c>
      <c r="J63" t="n">
        <v>3.85</v>
      </c>
      <c r="K63" t="n">
        <v>3.97</v>
      </c>
      <c r="L63" t="n">
        <v>4.16</v>
      </c>
      <c r="M63" t="n">
        <v>4.35</v>
      </c>
      <c r="N63" t="n">
        <v>4.92</v>
      </c>
      <c r="O63" t="n">
        <v>4.91</v>
      </c>
    </row>
    <row r="64">
      <c r="A64" s="3" t="n">
        <v>46112</v>
      </c>
      <c r="B64" t="n">
        <v>3.74</v>
      </c>
      <c r="C64" t="n">
        <v>3.73</v>
      </c>
      <c r="D64" t="n">
        <v>3.72</v>
      </c>
      <c r="E64" t="n">
        <v>3.7</v>
      </c>
      <c r="F64" t="n">
        <v>3.7</v>
      </c>
      <c r="G64" t="n">
        <v>3.72</v>
      </c>
      <c r="H64" t="n">
        <v>3.68</v>
      </c>
      <c r="I64" t="n">
        <v>3.79</v>
      </c>
      <c r="J64" t="n">
        <v>3.81</v>
      </c>
      <c r="K64" t="n">
        <v>3.92</v>
      </c>
      <c r="L64" t="n">
        <v>4.11</v>
      </c>
      <c r="M64" t="n">
        <v>4.3</v>
      </c>
      <c r="N64" t="n">
        <v>4.88</v>
      </c>
      <c r="O64" t="n">
        <v>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Source: Ministry of Finance Japan — JGB Constant Maturity (jgbcme)</t>
        </is>
      </c>
    </row>
    <row r="3">
      <c r="A3" s="2" t="inlineStr">
        <is>
          <t>Date</t>
        </is>
      </c>
      <c r="B3" s="2" t="inlineStr">
        <is>
          <t>1Y</t>
        </is>
      </c>
      <c r="C3" s="2" t="inlineStr">
        <is>
          <t>2Y</t>
        </is>
      </c>
      <c r="D3" s="2" t="inlineStr">
        <is>
          <t>3Y</t>
        </is>
      </c>
      <c r="E3" s="2" t="inlineStr">
        <is>
          <t>4Y</t>
        </is>
      </c>
      <c r="F3" s="2" t="inlineStr">
        <is>
          <t>5Y</t>
        </is>
      </c>
      <c r="G3" s="2" t="inlineStr">
        <is>
          <t>6Y</t>
        </is>
      </c>
      <c r="H3" s="2" t="inlineStr">
        <is>
          <t>7Y</t>
        </is>
      </c>
      <c r="I3" s="2" t="inlineStr">
        <is>
          <t>8Y</t>
        </is>
      </c>
      <c r="J3" s="2" t="inlineStr">
        <is>
          <t>9Y</t>
        </is>
      </c>
      <c r="K3" s="2" t="inlineStr">
        <is>
          <t>10Y</t>
        </is>
      </c>
      <c r="L3" s="2" t="inlineStr">
        <is>
          <t>15Y</t>
        </is>
      </c>
      <c r="M3" s="2" t="inlineStr">
        <is>
          <t>20Y</t>
        </is>
      </c>
      <c r="N3" s="2" t="inlineStr">
        <is>
          <t>25Y</t>
        </is>
      </c>
      <c r="O3" s="2" t="inlineStr">
        <is>
          <t>30Y</t>
        </is>
      </c>
      <c r="P3" s="2" t="inlineStr">
        <is>
          <t>40Y</t>
        </is>
      </c>
    </row>
    <row r="4">
      <c r="A4" s="3" t="n">
        <v>46027</v>
      </c>
      <c r="B4" t="n">
        <v>0.928</v>
      </c>
      <c r="C4" t="n">
        <v>1.194</v>
      </c>
      <c r="D4" t="n">
        <v>1.325</v>
      </c>
      <c r="E4" t="n">
        <v>1.5</v>
      </c>
      <c r="F4" t="n">
        <v>1.62</v>
      </c>
      <c r="G4" t="n">
        <v>1.709</v>
      </c>
      <c r="H4" t="n">
        <v>1.814</v>
      </c>
      <c r="I4" t="n">
        <v>1.922</v>
      </c>
      <c r="J4" t="n">
        <v>2.02</v>
      </c>
      <c r="K4" t="n">
        <v>2.111</v>
      </c>
      <c r="L4" t="n">
        <v>2.655</v>
      </c>
      <c r="M4" t="n">
        <v>3.002</v>
      </c>
      <c r="N4" t="n">
        <v>3.347</v>
      </c>
      <c r="O4" t="n">
        <v>3.393</v>
      </c>
      <c r="P4" t="n">
        <v>3.505</v>
      </c>
    </row>
    <row r="5">
      <c r="A5" s="3" t="n">
        <v>46028</v>
      </c>
      <c r="B5" t="n">
        <v>0.919</v>
      </c>
      <c r="C5" t="n">
        <v>1.185</v>
      </c>
      <c r="D5" t="n">
        <v>1.32</v>
      </c>
      <c r="E5" t="n">
        <v>1.498</v>
      </c>
      <c r="F5" t="n">
        <v>1.615</v>
      </c>
      <c r="G5" t="n">
        <v>1.709</v>
      </c>
      <c r="H5" t="n">
        <v>1.815</v>
      </c>
      <c r="I5" t="n">
        <v>1.929</v>
      </c>
      <c r="J5" t="n">
        <v>2.03</v>
      </c>
      <c r="K5" t="n">
        <v>2.123</v>
      </c>
      <c r="L5" t="n">
        <v>2.677</v>
      </c>
      <c r="M5" t="n">
        <v>3.029</v>
      </c>
      <c r="N5" t="n">
        <v>3.374</v>
      </c>
      <c r="O5" t="n">
        <v>3.42</v>
      </c>
      <c r="P5" t="n">
        <v>3.544</v>
      </c>
    </row>
    <row r="6">
      <c r="A6" s="3" t="n">
        <v>46029</v>
      </c>
      <c r="B6" t="n">
        <v>0.91</v>
      </c>
      <c r="C6" t="n">
        <v>1.17</v>
      </c>
      <c r="D6" t="n">
        <v>1.311</v>
      </c>
      <c r="E6" t="n">
        <v>1.488</v>
      </c>
      <c r="F6" t="n">
        <v>1.605</v>
      </c>
      <c r="G6" t="n">
        <v>1.702</v>
      </c>
      <c r="H6" t="n">
        <v>1.805</v>
      </c>
      <c r="I6" t="n">
        <v>1.92</v>
      </c>
      <c r="J6" t="n">
        <v>2.03</v>
      </c>
      <c r="K6" t="n">
        <v>2.124</v>
      </c>
      <c r="L6" t="n">
        <v>2.681</v>
      </c>
      <c r="M6" t="n">
        <v>3.041</v>
      </c>
      <c r="N6" t="n">
        <v>3.387</v>
      </c>
      <c r="O6" t="n">
        <v>3.428</v>
      </c>
      <c r="P6" t="n">
        <v>3.572</v>
      </c>
    </row>
    <row r="7">
      <c r="A7" s="3" t="n">
        <v>46030</v>
      </c>
      <c r="B7" t="n">
        <v>0.871</v>
      </c>
      <c r="C7" t="n">
        <v>1.129</v>
      </c>
      <c r="D7" t="n">
        <v>1.269</v>
      </c>
      <c r="E7" t="n">
        <v>1.444</v>
      </c>
      <c r="F7" t="n">
        <v>1.554</v>
      </c>
      <c r="G7" t="n">
        <v>1.651</v>
      </c>
      <c r="H7" t="n">
        <v>1.751</v>
      </c>
      <c r="I7" t="n">
        <v>1.865</v>
      </c>
      <c r="J7" t="n">
        <v>1.982</v>
      </c>
      <c r="K7" t="n">
        <v>2.083</v>
      </c>
      <c r="L7" t="n">
        <v>2.649</v>
      </c>
      <c r="M7" t="n">
        <v>3.028</v>
      </c>
      <c r="N7" t="n">
        <v>3.39</v>
      </c>
      <c r="O7" t="n">
        <v>3.435</v>
      </c>
      <c r="P7" t="n">
        <v>3.595</v>
      </c>
    </row>
    <row r="8">
      <c r="A8" s="3" t="n">
        <v>46031</v>
      </c>
      <c r="B8" t="n">
        <v>0.893</v>
      </c>
      <c r="C8" t="n">
        <v>1.151</v>
      </c>
      <c r="D8" t="n">
        <v>1.292</v>
      </c>
      <c r="E8" t="n">
        <v>1.466</v>
      </c>
      <c r="F8" t="n">
        <v>1.58</v>
      </c>
      <c r="G8" t="n">
        <v>1.671</v>
      </c>
      <c r="H8" t="n">
        <v>1.769</v>
      </c>
      <c r="I8" t="n">
        <v>1.884</v>
      </c>
      <c r="J8" t="n">
        <v>1.998</v>
      </c>
      <c r="K8" t="n">
        <v>2.096</v>
      </c>
      <c r="L8" t="n">
        <v>2.65</v>
      </c>
      <c r="M8" t="n">
        <v>3.013</v>
      </c>
      <c r="N8" t="n">
        <v>3.363</v>
      </c>
      <c r="O8" t="n">
        <v>3.399</v>
      </c>
      <c r="P8" t="n">
        <v>3.55</v>
      </c>
    </row>
    <row r="9">
      <c r="A9" s="3" t="n">
        <v>46035</v>
      </c>
      <c r="B9" t="n">
        <v>0.898</v>
      </c>
      <c r="C9" t="n">
        <v>1.164</v>
      </c>
      <c r="D9" t="n">
        <v>1.319</v>
      </c>
      <c r="E9" t="n">
        <v>1.507</v>
      </c>
      <c r="F9" t="n">
        <v>1.626</v>
      </c>
      <c r="G9" t="n">
        <v>1.722</v>
      </c>
      <c r="H9" t="n">
        <v>1.825</v>
      </c>
      <c r="I9" t="n">
        <v>1.943</v>
      </c>
      <c r="J9" t="n">
        <v>2.059</v>
      </c>
      <c r="K9" t="n">
        <v>2.163</v>
      </c>
      <c r="L9" t="n">
        <v>2.716</v>
      </c>
      <c r="M9" t="n">
        <v>3.081</v>
      </c>
      <c r="N9" t="n">
        <v>3.431</v>
      </c>
      <c r="O9" t="n">
        <v>3.462</v>
      </c>
      <c r="P9" t="n">
        <v>3.629</v>
      </c>
    </row>
    <row r="10">
      <c r="A10" s="3" t="n">
        <v>46036</v>
      </c>
      <c r="B10" t="n">
        <v>0.909</v>
      </c>
      <c r="C10" t="n">
        <v>1.186</v>
      </c>
      <c r="D10" t="n">
        <v>1.338</v>
      </c>
      <c r="E10" t="n">
        <v>1.521</v>
      </c>
      <c r="F10" t="n">
        <v>1.647</v>
      </c>
      <c r="G10" t="n">
        <v>1.736</v>
      </c>
      <c r="H10" t="n">
        <v>1.842</v>
      </c>
      <c r="I10" t="n">
        <v>1.96</v>
      </c>
      <c r="J10" t="n">
        <v>2.077</v>
      </c>
      <c r="K10" t="n">
        <v>2.182</v>
      </c>
      <c r="L10" t="n">
        <v>2.747</v>
      </c>
      <c r="M10" t="n">
        <v>3.099</v>
      </c>
      <c r="N10" t="n">
        <v>3.457</v>
      </c>
      <c r="O10" t="n">
        <v>3.486</v>
      </c>
      <c r="P10" t="n">
        <v>3.649</v>
      </c>
    </row>
    <row r="11">
      <c r="A11" s="3" t="n">
        <v>46037</v>
      </c>
      <c r="B11" t="n">
        <v>0.915</v>
      </c>
      <c r="C11" t="n">
        <v>1.19</v>
      </c>
      <c r="D11" t="n">
        <v>1.336</v>
      </c>
      <c r="E11" t="n">
        <v>1.513</v>
      </c>
      <c r="F11" t="n">
        <v>1.636</v>
      </c>
      <c r="G11" t="n">
        <v>1.718</v>
      </c>
      <c r="H11" t="n">
        <v>1.823</v>
      </c>
      <c r="I11" t="n">
        <v>1.944</v>
      </c>
      <c r="J11" t="n">
        <v>2.059</v>
      </c>
      <c r="K11" t="n">
        <v>2.164</v>
      </c>
      <c r="L11" t="n">
        <v>2.728</v>
      </c>
      <c r="M11" t="n">
        <v>3.078</v>
      </c>
      <c r="N11" t="n">
        <v>3.43</v>
      </c>
      <c r="O11" t="n">
        <v>3.454</v>
      </c>
      <c r="P11" t="n">
        <v>3.616</v>
      </c>
    </row>
    <row r="12">
      <c r="A12" s="3" t="n">
        <v>46038</v>
      </c>
      <c r="B12" t="n">
        <v>0.931</v>
      </c>
      <c r="C12" t="n">
        <v>1.205</v>
      </c>
      <c r="D12" t="n">
        <v>1.355</v>
      </c>
      <c r="E12" t="n">
        <v>1.527</v>
      </c>
      <c r="F12" t="n">
        <v>1.647</v>
      </c>
      <c r="G12" t="n">
        <v>1.732</v>
      </c>
      <c r="H12" t="n">
        <v>1.838</v>
      </c>
      <c r="I12" t="n">
        <v>1.958</v>
      </c>
      <c r="J12" t="n">
        <v>2.078</v>
      </c>
      <c r="K12" t="n">
        <v>2.182</v>
      </c>
      <c r="L12" t="n">
        <v>2.745</v>
      </c>
      <c r="M12" t="n">
        <v>3.092</v>
      </c>
      <c r="N12" t="n">
        <v>3.434</v>
      </c>
      <c r="O12" t="n">
        <v>3.462</v>
      </c>
      <c r="P12" t="n">
        <v>3.618</v>
      </c>
    </row>
    <row r="13">
      <c r="A13" s="3" t="n">
        <v>46041</v>
      </c>
      <c r="B13" t="n">
        <v>0.951</v>
      </c>
      <c r="C13" t="n">
        <v>1.23</v>
      </c>
      <c r="D13" t="n">
        <v>1.382</v>
      </c>
      <c r="E13" t="n">
        <v>1.561</v>
      </c>
      <c r="F13" t="n">
        <v>1.691</v>
      </c>
      <c r="G13" t="n">
        <v>1.791</v>
      </c>
      <c r="H13" t="n">
        <v>1.903</v>
      </c>
      <c r="I13" t="n">
        <v>2.026</v>
      </c>
      <c r="J13" t="n">
        <v>2.15</v>
      </c>
      <c r="K13" t="n">
        <v>2.266</v>
      </c>
      <c r="L13" t="n">
        <v>2.843</v>
      </c>
      <c r="M13" t="n">
        <v>3.174</v>
      </c>
      <c r="N13" t="n">
        <v>3.519</v>
      </c>
      <c r="O13" t="n">
        <v>3.562</v>
      </c>
      <c r="P13" t="n">
        <v>3.721</v>
      </c>
    </row>
    <row r="14">
      <c r="A14" s="3" t="n">
        <v>46042</v>
      </c>
      <c r="B14" t="n">
        <v>0.9429999999999999</v>
      </c>
      <c r="C14" t="n">
        <v>1.22</v>
      </c>
      <c r="D14" t="n">
        <v>1.381</v>
      </c>
      <c r="E14" t="n">
        <v>1.568</v>
      </c>
      <c r="F14" t="n">
        <v>1.703</v>
      </c>
      <c r="G14" t="n">
        <v>1.816</v>
      </c>
      <c r="H14" t="n">
        <v>1.935</v>
      </c>
      <c r="I14" t="n">
        <v>2.066</v>
      </c>
      <c r="J14" t="n">
        <v>2.208</v>
      </c>
      <c r="K14" t="n">
        <v>2.33</v>
      </c>
      <c r="L14" t="n">
        <v>2.982</v>
      </c>
      <c r="M14" t="n">
        <v>3.325</v>
      </c>
      <c r="N14" t="n">
        <v>3.691</v>
      </c>
      <c r="O14" t="n">
        <v>3.765</v>
      </c>
      <c r="P14" t="n">
        <v>3.901</v>
      </c>
    </row>
    <row r="15">
      <c r="A15" s="3" t="n">
        <v>46043</v>
      </c>
      <c r="B15" t="n">
        <v>0.961</v>
      </c>
      <c r="C15" t="n">
        <v>1.235</v>
      </c>
      <c r="D15" t="n">
        <v>1.386</v>
      </c>
      <c r="E15" t="n">
        <v>1.567</v>
      </c>
      <c r="F15" t="n">
        <v>1.687</v>
      </c>
      <c r="G15" t="n">
        <v>1.794</v>
      </c>
      <c r="H15" t="n">
        <v>1.904</v>
      </c>
      <c r="I15" t="n">
        <v>2.032</v>
      </c>
      <c r="J15" t="n">
        <v>2.164</v>
      </c>
      <c r="K15" t="n">
        <v>2.28</v>
      </c>
      <c r="L15" t="n">
        <v>2.915</v>
      </c>
      <c r="M15" t="n">
        <v>3.25</v>
      </c>
      <c r="N15" t="n">
        <v>3.598</v>
      </c>
      <c r="O15" t="n">
        <v>3.647</v>
      </c>
      <c r="P15" t="n">
        <v>3.788</v>
      </c>
    </row>
    <row r="16">
      <c r="A16" s="3" t="n">
        <v>46044</v>
      </c>
      <c r="B16" t="n">
        <v>0.952</v>
      </c>
      <c r="C16" t="n">
        <v>1.224</v>
      </c>
      <c r="D16" t="n">
        <v>1.37</v>
      </c>
      <c r="E16" t="n">
        <v>1.552</v>
      </c>
      <c r="F16" t="n">
        <v>1.668</v>
      </c>
      <c r="G16" t="n">
        <v>1.773</v>
      </c>
      <c r="H16" t="n">
        <v>1.877</v>
      </c>
      <c r="I16" t="n">
        <v>2</v>
      </c>
      <c r="J16" t="n">
        <v>2.125</v>
      </c>
      <c r="K16" t="n">
        <v>2.239</v>
      </c>
      <c r="L16" t="n">
        <v>2.852</v>
      </c>
      <c r="M16" t="n">
        <v>3.202</v>
      </c>
      <c r="N16" t="n">
        <v>3.567</v>
      </c>
      <c r="O16" t="n">
        <v>3.604</v>
      </c>
      <c r="P16" t="n">
        <v>3.748</v>
      </c>
    </row>
    <row r="17">
      <c r="A17" s="3" t="n">
        <v>46045</v>
      </c>
      <c r="B17" t="n">
        <v>0.994</v>
      </c>
      <c r="C17" t="n">
        <v>1.262</v>
      </c>
      <c r="D17" t="n">
        <v>1.4</v>
      </c>
      <c r="E17" t="n">
        <v>1.582</v>
      </c>
      <c r="F17" t="n">
        <v>1.696</v>
      </c>
      <c r="G17" t="n">
        <v>1.798</v>
      </c>
      <c r="H17" t="n">
        <v>1.9</v>
      </c>
      <c r="I17" t="n">
        <v>2.018</v>
      </c>
      <c r="J17" t="n">
        <v>2.138</v>
      </c>
      <c r="K17" t="n">
        <v>2.253</v>
      </c>
      <c r="L17" t="n">
        <v>2.841</v>
      </c>
      <c r="M17" t="n">
        <v>3.198</v>
      </c>
      <c r="N17" t="n">
        <v>3.57</v>
      </c>
      <c r="O17" t="n">
        <v>3.585</v>
      </c>
      <c r="P17" t="n">
        <v>3.708</v>
      </c>
    </row>
    <row r="18">
      <c r="A18" s="3" t="n">
        <v>46048</v>
      </c>
      <c r="B18" t="n">
        <v>1.018</v>
      </c>
      <c r="C18" t="n">
        <v>1.277</v>
      </c>
      <c r="D18" t="n">
        <v>1.412</v>
      </c>
      <c r="E18" t="n">
        <v>1.587</v>
      </c>
      <c r="F18" t="n">
        <v>1.692</v>
      </c>
      <c r="G18" t="n">
        <v>1.786</v>
      </c>
      <c r="H18" t="n">
        <v>1.888</v>
      </c>
      <c r="I18" t="n">
        <v>2.006</v>
      </c>
      <c r="J18" t="n">
        <v>2.124</v>
      </c>
      <c r="K18" t="n">
        <v>2.236</v>
      </c>
      <c r="L18" t="n">
        <v>2.825</v>
      </c>
      <c r="M18" t="n">
        <v>3.178</v>
      </c>
      <c r="N18" t="n">
        <v>3.556</v>
      </c>
      <c r="O18" t="n">
        <v>3.568</v>
      </c>
      <c r="P18" t="n">
        <v>3.688</v>
      </c>
    </row>
    <row r="19">
      <c r="A19" s="3" t="n">
        <v>46049</v>
      </c>
      <c r="B19" t="n">
        <v>1.03</v>
      </c>
      <c r="C19" t="n">
        <v>1.284</v>
      </c>
      <c r="D19" t="n">
        <v>1.426</v>
      </c>
      <c r="E19" t="n">
        <v>1.599</v>
      </c>
      <c r="F19" t="n">
        <v>1.717</v>
      </c>
      <c r="G19" t="n">
        <v>1.817</v>
      </c>
      <c r="H19" t="n">
        <v>1.92</v>
      </c>
      <c r="I19" t="n">
        <v>2.044</v>
      </c>
      <c r="J19" t="n">
        <v>2.166</v>
      </c>
      <c r="K19" t="n">
        <v>2.281</v>
      </c>
      <c r="L19" t="n">
        <v>2.861</v>
      </c>
      <c r="M19" t="n">
        <v>3.207</v>
      </c>
      <c r="N19" t="n">
        <v>3.575</v>
      </c>
      <c r="O19" t="n">
        <v>3.599</v>
      </c>
      <c r="P19" t="n">
        <v>3.708</v>
      </c>
    </row>
    <row r="20">
      <c r="A20" s="3" t="n">
        <v>46050</v>
      </c>
      <c r="B20" t="n">
        <v>1.012</v>
      </c>
      <c r="C20" t="n">
        <v>1.257</v>
      </c>
      <c r="D20" t="n">
        <v>1.391</v>
      </c>
      <c r="E20" t="n">
        <v>1.558</v>
      </c>
      <c r="F20" t="n">
        <v>1.672</v>
      </c>
      <c r="G20" t="n">
        <v>1.768</v>
      </c>
      <c r="H20" t="n">
        <v>1.87</v>
      </c>
      <c r="I20" t="n">
        <v>1.994</v>
      </c>
      <c r="J20" t="n">
        <v>2.118</v>
      </c>
      <c r="K20" t="n">
        <v>2.237</v>
      </c>
      <c r="L20" t="n">
        <v>2.835</v>
      </c>
      <c r="M20" t="n">
        <v>3.182</v>
      </c>
      <c r="N20" t="n">
        <v>3.554</v>
      </c>
      <c r="O20" t="n">
        <v>3.579</v>
      </c>
      <c r="P20" t="n">
        <v>3.691</v>
      </c>
    </row>
    <row r="21">
      <c r="A21" s="3" t="n">
        <v>46051</v>
      </c>
      <c r="B21" t="n">
        <v>1.014</v>
      </c>
      <c r="C21" t="n">
        <v>1.264</v>
      </c>
      <c r="D21" t="n">
        <v>1.399</v>
      </c>
      <c r="E21" t="n">
        <v>1.563</v>
      </c>
      <c r="F21" t="n">
        <v>1.684</v>
      </c>
      <c r="G21" t="n">
        <v>1.785</v>
      </c>
      <c r="H21" t="n">
        <v>1.891</v>
      </c>
      <c r="I21" t="n">
        <v>2.011</v>
      </c>
      <c r="J21" t="n">
        <v>2.131</v>
      </c>
      <c r="K21" t="n">
        <v>2.252</v>
      </c>
      <c r="L21" t="n">
        <v>2.84</v>
      </c>
      <c r="M21" t="n">
        <v>3.174</v>
      </c>
      <c r="N21" t="n">
        <v>3.542</v>
      </c>
      <c r="O21" t="n">
        <v>3.566</v>
      </c>
      <c r="P21" t="n">
        <v>3.657</v>
      </c>
    </row>
    <row r="22">
      <c r="A22" s="3" t="n">
        <v>46052</v>
      </c>
      <c r="B22" t="n">
        <v>0.996</v>
      </c>
      <c r="C22" t="n">
        <v>1.251</v>
      </c>
      <c r="D22" t="n">
        <v>1.381</v>
      </c>
      <c r="E22" t="n">
        <v>1.54</v>
      </c>
      <c r="F22" t="n">
        <v>1.666</v>
      </c>
      <c r="G22" t="n">
        <v>1.774</v>
      </c>
      <c r="H22" t="n">
        <v>1.884</v>
      </c>
      <c r="I22" t="n">
        <v>2.004</v>
      </c>
      <c r="J22" t="n">
        <v>2.127</v>
      </c>
      <c r="K22" t="n">
        <v>2.247</v>
      </c>
      <c r="L22" t="n">
        <v>2.848</v>
      </c>
      <c r="M22" t="n">
        <v>3.186</v>
      </c>
      <c r="N22" t="n">
        <v>3.543</v>
      </c>
      <c r="O22" t="n">
        <v>3.577</v>
      </c>
      <c r="P22" t="n">
        <v>3.681</v>
      </c>
    </row>
    <row r="23">
      <c r="A23" s="3" t="n">
        <v>46055</v>
      </c>
      <c r="B23" t="n">
        <v>1.014</v>
      </c>
      <c r="C23" t="n">
        <v>1.265</v>
      </c>
      <c r="D23" t="n">
        <v>1.386</v>
      </c>
      <c r="E23" t="n">
        <v>1.532</v>
      </c>
      <c r="F23" t="n">
        <v>1.659</v>
      </c>
      <c r="G23" t="n">
        <v>1.763</v>
      </c>
      <c r="H23" t="n">
        <v>1.867</v>
      </c>
      <c r="I23" t="n">
        <v>1.992</v>
      </c>
      <c r="J23" t="n">
        <v>2.114</v>
      </c>
      <c r="K23" t="n">
        <v>2.235</v>
      </c>
      <c r="L23" t="n">
        <v>2.842</v>
      </c>
      <c r="M23" t="n">
        <v>3.187</v>
      </c>
      <c r="N23" t="n">
        <v>3.554</v>
      </c>
      <c r="O23" t="n">
        <v>3.583</v>
      </c>
      <c r="P23" t="n">
        <v>3.707</v>
      </c>
    </row>
    <row r="24">
      <c r="A24" s="3" t="n">
        <v>46056</v>
      </c>
      <c r="B24" t="n">
        <v>1.026</v>
      </c>
      <c r="C24" t="n">
        <v>1.286</v>
      </c>
      <c r="D24" t="n">
        <v>1.408</v>
      </c>
      <c r="E24" t="n">
        <v>1.565</v>
      </c>
      <c r="F24" t="n">
        <v>1.693</v>
      </c>
      <c r="G24" t="n">
        <v>1.795</v>
      </c>
      <c r="H24" t="n">
        <v>1.896</v>
      </c>
      <c r="I24" t="n">
        <v>2.022</v>
      </c>
      <c r="J24" t="n">
        <v>2.137</v>
      </c>
      <c r="K24" t="n">
        <v>2.258</v>
      </c>
      <c r="L24" t="n">
        <v>2.852</v>
      </c>
      <c r="M24" t="n">
        <v>3.19</v>
      </c>
      <c r="N24" t="n">
        <v>3.544</v>
      </c>
      <c r="O24" t="n">
        <v>3.58</v>
      </c>
      <c r="P24" t="n">
        <v>3.702</v>
      </c>
    </row>
    <row r="25">
      <c r="A25" s="3" t="n">
        <v>46057</v>
      </c>
      <c r="B25" t="n">
        <v>1.018</v>
      </c>
      <c r="C25" t="n">
        <v>1.276</v>
      </c>
      <c r="D25" t="n">
        <v>1.401</v>
      </c>
      <c r="E25" t="n">
        <v>1.561</v>
      </c>
      <c r="F25" t="n">
        <v>1.687</v>
      </c>
      <c r="G25" t="n">
        <v>1.79</v>
      </c>
      <c r="H25" t="n">
        <v>1.889</v>
      </c>
      <c r="I25" t="n">
        <v>2.014</v>
      </c>
      <c r="J25" t="n">
        <v>2.133</v>
      </c>
      <c r="K25" t="n">
        <v>2.249</v>
      </c>
      <c r="L25" t="n">
        <v>2.849</v>
      </c>
      <c r="M25" t="n">
        <v>3.19</v>
      </c>
      <c r="N25" t="n">
        <v>3.537</v>
      </c>
      <c r="O25" t="n">
        <v>3.579</v>
      </c>
      <c r="P25" t="n">
        <v>3.719</v>
      </c>
    </row>
    <row r="26">
      <c r="A26" s="3" t="n">
        <v>46058</v>
      </c>
      <c r="B26" t="n">
        <v>1.02</v>
      </c>
      <c r="C26" t="n">
        <v>1.276</v>
      </c>
      <c r="D26" t="n">
        <v>1.404</v>
      </c>
      <c r="E26" t="n">
        <v>1.565</v>
      </c>
      <c r="F26" t="n">
        <v>1.693</v>
      </c>
      <c r="G26" t="n">
        <v>1.784</v>
      </c>
      <c r="H26" t="n">
        <v>1.882</v>
      </c>
      <c r="I26" t="n">
        <v>2.005</v>
      </c>
      <c r="J26" t="n">
        <v>2.12</v>
      </c>
      <c r="K26" t="n">
        <v>2.231</v>
      </c>
      <c r="L26" t="n">
        <v>2.821</v>
      </c>
      <c r="M26" t="n">
        <v>3.154</v>
      </c>
      <c r="N26" t="n">
        <v>3.483</v>
      </c>
      <c r="O26" t="n">
        <v>3.525</v>
      </c>
      <c r="P26" t="n">
        <v>3.656</v>
      </c>
    </row>
    <row r="27">
      <c r="A27" s="3" t="n">
        <v>46059</v>
      </c>
      <c r="B27" t="n">
        <v>1.022</v>
      </c>
      <c r="C27" t="n">
        <v>1.281</v>
      </c>
      <c r="D27" t="n">
        <v>1.404</v>
      </c>
      <c r="E27" t="n">
        <v>1.568</v>
      </c>
      <c r="F27" t="n">
        <v>1.697</v>
      </c>
      <c r="G27" t="n">
        <v>1.795</v>
      </c>
      <c r="H27" t="n">
        <v>1.89</v>
      </c>
      <c r="I27" t="n">
        <v>2.014</v>
      </c>
      <c r="J27" t="n">
        <v>2.127</v>
      </c>
      <c r="K27" t="n">
        <v>2.236</v>
      </c>
      <c r="L27" t="n">
        <v>2.815</v>
      </c>
      <c r="M27" t="n">
        <v>3.15</v>
      </c>
      <c r="N27" t="n">
        <v>3.467</v>
      </c>
      <c r="O27" t="n">
        <v>3.513</v>
      </c>
      <c r="P27" t="n">
        <v>3.632</v>
      </c>
    </row>
    <row r="28">
      <c r="A28" s="3" t="n">
        <v>46062</v>
      </c>
      <c r="B28" t="n">
        <v>1.039</v>
      </c>
      <c r="C28" t="n">
        <v>1.313</v>
      </c>
      <c r="D28" t="n">
        <v>1.443</v>
      </c>
      <c r="E28" t="n">
        <v>1.614</v>
      </c>
      <c r="F28" t="n">
        <v>1.751</v>
      </c>
      <c r="G28" t="n">
        <v>1.849</v>
      </c>
      <c r="H28" t="n">
        <v>1.951</v>
      </c>
      <c r="I28" t="n">
        <v>2.069</v>
      </c>
      <c r="J28" t="n">
        <v>2.184</v>
      </c>
      <c r="K28" t="n">
        <v>2.289</v>
      </c>
      <c r="L28" t="n">
        <v>2.849</v>
      </c>
      <c r="M28" t="n">
        <v>3.177</v>
      </c>
      <c r="N28" t="n">
        <v>3.487</v>
      </c>
      <c r="O28" t="n">
        <v>3.52</v>
      </c>
      <c r="P28" t="n">
        <v>3.63</v>
      </c>
    </row>
    <row r="29">
      <c r="A29" s="3" t="n">
        <v>46063</v>
      </c>
      <c r="B29" t="n">
        <v>1.031</v>
      </c>
      <c r="C29" t="n">
        <v>1.303</v>
      </c>
      <c r="D29" t="n">
        <v>1.423</v>
      </c>
      <c r="E29" t="n">
        <v>1.585</v>
      </c>
      <c r="F29" t="n">
        <v>1.712</v>
      </c>
      <c r="G29" t="n">
        <v>1.806</v>
      </c>
      <c r="H29" t="n">
        <v>1.902</v>
      </c>
      <c r="I29" t="n">
        <v>2.021</v>
      </c>
      <c r="J29" t="n">
        <v>2.135</v>
      </c>
      <c r="K29" t="n">
        <v>2.241</v>
      </c>
      <c r="L29" t="n">
        <v>2.8</v>
      </c>
      <c r="M29" t="n">
        <v>3.129</v>
      </c>
      <c r="N29" t="n">
        <v>3.447</v>
      </c>
      <c r="O29" t="n">
        <v>3.468</v>
      </c>
      <c r="P29" t="n">
        <v>3.563</v>
      </c>
    </row>
    <row r="30">
      <c r="A30" s="3" t="n">
        <v>46065</v>
      </c>
      <c r="B30" t="n">
        <v>1.041</v>
      </c>
      <c r="C30" t="n">
        <v>1.305</v>
      </c>
      <c r="D30" t="n">
        <v>1.425</v>
      </c>
      <c r="E30" t="n">
        <v>1.589</v>
      </c>
      <c r="F30" t="n">
        <v>1.713</v>
      </c>
      <c r="G30" t="n">
        <v>1.807</v>
      </c>
      <c r="H30" t="n">
        <v>1.898</v>
      </c>
      <c r="I30" t="n">
        <v>2.017</v>
      </c>
      <c r="J30" t="n">
        <v>2.129</v>
      </c>
      <c r="K30" t="n">
        <v>2.238</v>
      </c>
      <c r="L30" t="n">
        <v>2.775</v>
      </c>
      <c r="M30" t="n">
        <v>3.091</v>
      </c>
      <c r="N30" t="n">
        <v>3.398</v>
      </c>
      <c r="O30" t="n">
        <v>3.413</v>
      </c>
      <c r="P30" t="n">
        <v>3.491</v>
      </c>
    </row>
    <row r="31">
      <c r="A31" s="3" t="n">
        <v>46066</v>
      </c>
      <c r="B31" t="n">
        <v>1.036</v>
      </c>
      <c r="C31" t="n">
        <v>1.289</v>
      </c>
      <c r="D31" t="n">
        <v>1.408</v>
      </c>
      <c r="E31" t="n">
        <v>1.571</v>
      </c>
      <c r="F31" t="n">
        <v>1.692</v>
      </c>
      <c r="G31" t="n">
        <v>1.785</v>
      </c>
      <c r="H31" t="n">
        <v>1.875</v>
      </c>
      <c r="I31" t="n">
        <v>1.995</v>
      </c>
      <c r="J31" t="n">
        <v>2.112</v>
      </c>
      <c r="K31" t="n">
        <v>2.218</v>
      </c>
      <c r="L31" t="n">
        <v>2.754</v>
      </c>
      <c r="M31" t="n">
        <v>3.079</v>
      </c>
      <c r="N31" t="n">
        <v>3.393</v>
      </c>
      <c r="O31" t="n">
        <v>3.422</v>
      </c>
      <c r="P31" t="n">
        <v>3.512</v>
      </c>
    </row>
    <row r="32">
      <c r="A32" s="3" t="n">
        <v>46069</v>
      </c>
      <c r="B32" t="n">
        <v>1.027</v>
      </c>
      <c r="C32" t="n">
        <v>1.275</v>
      </c>
      <c r="D32" t="n">
        <v>1.394</v>
      </c>
      <c r="E32" t="n">
        <v>1.559</v>
      </c>
      <c r="F32" t="n">
        <v>1.685</v>
      </c>
      <c r="G32" t="n">
        <v>1.777</v>
      </c>
      <c r="H32" t="n">
        <v>1.864</v>
      </c>
      <c r="I32" t="n">
        <v>1.99</v>
      </c>
      <c r="J32" t="n">
        <v>2.111</v>
      </c>
      <c r="K32" t="n">
        <v>2.22</v>
      </c>
      <c r="L32" t="n">
        <v>2.77</v>
      </c>
      <c r="M32" t="n">
        <v>3.109</v>
      </c>
      <c r="N32" t="n">
        <v>3.43</v>
      </c>
      <c r="O32" t="n">
        <v>3.461</v>
      </c>
      <c r="P32" t="n">
        <v>3.563</v>
      </c>
    </row>
    <row r="33">
      <c r="A33" s="3" t="n">
        <v>46070</v>
      </c>
      <c r="B33" t="n">
        <v>1.008</v>
      </c>
      <c r="C33" t="n">
        <v>1.233</v>
      </c>
      <c r="D33" t="n">
        <v>1.349</v>
      </c>
      <c r="E33" t="n">
        <v>1.505</v>
      </c>
      <c r="F33" t="n">
        <v>1.63</v>
      </c>
      <c r="G33" t="n">
        <v>1.709</v>
      </c>
      <c r="H33" t="n">
        <v>1.793</v>
      </c>
      <c r="I33" t="n">
        <v>1.911</v>
      </c>
      <c r="J33" t="n">
        <v>2.03</v>
      </c>
      <c r="K33" t="n">
        <v>2.143</v>
      </c>
      <c r="L33" t="n">
        <v>2.684</v>
      </c>
      <c r="M33" t="n">
        <v>3.016</v>
      </c>
      <c r="N33" t="n">
        <v>3.341</v>
      </c>
      <c r="O33" t="n">
        <v>3.382</v>
      </c>
      <c r="P33" t="n">
        <v>3.489</v>
      </c>
    </row>
    <row r="34">
      <c r="A34" s="3" t="n">
        <v>46071</v>
      </c>
      <c r="B34" t="n">
        <v>1.015</v>
      </c>
      <c r="C34" t="n">
        <v>1.242</v>
      </c>
      <c r="D34" t="n">
        <v>1.354</v>
      </c>
      <c r="E34" t="n">
        <v>1.511</v>
      </c>
      <c r="F34" t="n">
        <v>1.634</v>
      </c>
      <c r="G34" t="n">
        <v>1.718</v>
      </c>
      <c r="H34" t="n">
        <v>1.807</v>
      </c>
      <c r="I34" t="n">
        <v>1.925</v>
      </c>
      <c r="J34" t="n">
        <v>2.04</v>
      </c>
      <c r="K34" t="n">
        <v>2.152</v>
      </c>
      <c r="L34" t="n">
        <v>2.688</v>
      </c>
      <c r="M34" t="n">
        <v>3.016</v>
      </c>
      <c r="N34" t="n">
        <v>3.326</v>
      </c>
      <c r="O34" t="n">
        <v>3.371</v>
      </c>
      <c r="P34" t="n">
        <v>3.475</v>
      </c>
    </row>
    <row r="35">
      <c r="A35" s="3" t="n">
        <v>46072</v>
      </c>
      <c r="B35" t="n">
        <v>1.032</v>
      </c>
      <c r="C35" t="n">
        <v>1.265</v>
      </c>
      <c r="D35" t="n">
        <v>1.369</v>
      </c>
      <c r="E35" t="n">
        <v>1.522</v>
      </c>
      <c r="F35" t="n">
        <v>1.646</v>
      </c>
      <c r="G35" t="n">
        <v>1.727</v>
      </c>
      <c r="H35" t="n">
        <v>1.816</v>
      </c>
      <c r="I35" t="n">
        <v>1.934</v>
      </c>
      <c r="J35" t="n">
        <v>2.049</v>
      </c>
      <c r="K35" t="n">
        <v>2.157</v>
      </c>
      <c r="L35" t="n">
        <v>2.692</v>
      </c>
      <c r="M35" t="n">
        <v>3.003</v>
      </c>
      <c r="N35" t="n">
        <v>3.293</v>
      </c>
      <c r="O35" t="n">
        <v>3.34</v>
      </c>
      <c r="P35" t="n">
        <v>3.452</v>
      </c>
    </row>
    <row r="36">
      <c r="A36" s="3" t="n">
        <v>46073</v>
      </c>
      <c r="B36" t="n">
        <v>1.033</v>
      </c>
      <c r="C36" t="n">
        <v>1.26</v>
      </c>
      <c r="D36" t="n">
        <v>1.357</v>
      </c>
      <c r="E36" t="n">
        <v>1.501</v>
      </c>
      <c r="F36" t="n">
        <v>1.622</v>
      </c>
      <c r="G36" t="n">
        <v>1.7</v>
      </c>
      <c r="H36" t="n">
        <v>1.79</v>
      </c>
      <c r="I36" t="n">
        <v>1.908</v>
      </c>
      <c r="J36" t="n">
        <v>2.019</v>
      </c>
      <c r="K36" t="n">
        <v>2.125</v>
      </c>
      <c r="L36" t="n">
        <v>2.657</v>
      </c>
      <c r="M36" t="n">
        <v>2.965</v>
      </c>
      <c r="N36" t="n">
        <v>3.267</v>
      </c>
      <c r="O36" t="n">
        <v>3.323</v>
      </c>
      <c r="P36" t="n">
        <v>3.431</v>
      </c>
    </row>
    <row r="37">
      <c r="A37" s="3" t="n">
        <v>46077</v>
      </c>
      <c r="B37" t="n">
        <v>1.028</v>
      </c>
      <c r="C37" t="n">
        <v>1.251</v>
      </c>
      <c r="D37" t="n">
        <v>1.352</v>
      </c>
      <c r="E37" t="n">
        <v>1.495</v>
      </c>
      <c r="F37" t="n">
        <v>1.612</v>
      </c>
      <c r="G37" t="n">
        <v>1.696</v>
      </c>
      <c r="H37" t="n">
        <v>1.786</v>
      </c>
      <c r="I37" t="n">
        <v>1.905</v>
      </c>
      <c r="J37" t="n">
        <v>2.015</v>
      </c>
      <c r="K37" t="n">
        <v>2.119</v>
      </c>
      <c r="L37" t="n">
        <v>2.611</v>
      </c>
      <c r="M37" t="n">
        <v>2.94</v>
      </c>
      <c r="N37" t="n">
        <v>3.251</v>
      </c>
      <c r="O37" t="n">
        <v>3.295</v>
      </c>
      <c r="P37" t="n">
        <v>3.405</v>
      </c>
    </row>
    <row r="38">
      <c r="A38" s="3" t="n">
        <v>46078</v>
      </c>
      <c r="B38" t="n">
        <v>1.01</v>
      </c>
      <c r="C38" t="n">
        <v>1.224</v>
      </c>
      <c r="D38" t="n">
        <v>1.335</v>
      </c>
      <c r="E38" t="n">
        <v>1.475</v>
      </c>
      <c r="F38" t="n">
        <v>1.601</v>
      </c>
      <c r="G38" t="n">
        <v>1.692</v>
      </c>
      <c r="H38" t="n">
        <v>1.793</v>
      </c>
      <c r="I38" t="n">
        <v>1.916</v>
      </c>
      <c r="J38" t="n">
        <v>2.037</v>
      </c>
      <c r="K38" t="n">
        <v>2.154</v>
      </c>
      <c r="L38" t="n">
        <v>2.663</v>
      </c>
      <c r="M38" t="n">
        <v>3.007</v>
      </c>
      <c r="N38" t="n">
        <v>3.321</v>
      </c>
      <c r="O38" t="n">
        <v>3.38</v>
      </c>
      <c r="P38" t="n">
        <v>3.497</v>
      </c>
    </row>
    <row r="39">
      <c r="A39" s="3" t="n">
        <v>46079</v>
      </c>
      <c r="B39" t="n">
        <v>1.031</v>
      </c>
      <c r="C39" t="n">
        <v>1.246</v>
      </c>
      <c r="D39" t="n">
        <v>1.36</v>
      </c>
      <c r="E39" t="n">
        <v>1.499</v>
      </c>
      <c r="F39" t="n">
        <v>1.625</v>
      </c>
      <c r="G39" t="n">
        <v>1.71</v>
      </c>
      <c r="H39" t="n">
        <v>1.807</v>
      </c>
      <c r="I39" t="n">
        <v>1.932</v>
      </c>
      <c r="J39" t="n">
        <v>2.055</v>
      </c>
      <c r="K39" t="n">
        <v>2.168</v>
      </c>
      <c r="L39" t="n">
        <v>2.676</v>
      </c>
      <c r="M39" t="n">
        <v>3.012</v>
      </c>
      <c r="N39" t="n">
        <v>3.321</v>
      </c>
      <c r="O39" t="n">
        <v>3.366</v>
      </c>
      <c r="P39" t="n">
        <v>3.475</v>
      </c>
    </row>
    <row r="40">
      <c r="A40" s="3" t="n">
        <v>46080</v>
      </c>
      <c r="B40" t="n">
        <v>1.023</v>
      </c>
      <c r="C40" t="n">
        <v>1.25</v>
      </c>
      <c r="D40" t="n">
        <v>1.335</v>
      </c>
      <c r="E40" t="n">
        <v>1.473</v>
      </c>
      <c r="F40" t="n">
        <v>1.594</v>
      </c>
      <c r="G40" t="n">
        <v>1.68</v>
      </c>
      <c r="H40" t="n">
        <v>1.776</v>
      </c>
      <c r="I40" t="n">
        <v>1.902</v>
      </c>
      <c r="J40" t="n">
        <v>2.019</v>
      </c>
      <c r="K40" t="n">
        <v>2.132</v>
      </c>
      <c r="L40" t="n">
        <v>2.636</v>
      </c>
      <c r="M40" t="n">
        <v>2.979</v>
      </c>
      <c r="N40" t="n">
        <v>3.286</v>
      </c>
      <c r="O40" t="n">
        <v>3.342</v>
      </c>
      <c r="P40" t="n">
        <v>3.44</v>
      </c>
    </row>
    <row r="41">
      <c r="A41" s="3" t="n">
        <v>46083</v>
      </c>
      <c r="B41" t="n">
        <v>1.002</v>
      </c>
      <c r="C41" t="n">
        <v>1.219</v>
      </c>
      <c r="D41" t="n">
        <v>1.308</v>
      </c>
      <c r="E41" t="n">
        <v>1.437</v>
      </c>
      <c r="F41" t="n">
        <v>1.552</v>
      </c>
      <c r="G41" t="n">
        <v>1.639</v>
      </c>
      <c r="H41" t="n">
        <v>1.728</v>
      </c>
      <c r="I41" t="n">
        <v>1.857</v>
      </c>
      <c r="J41" t="n">
        <v>1.975</v>
      </c>
      <c r="K41" t="n">
        <v>2.087</v>
      </c>
      <c r="L41" t="n">
        <v>2.604</v>
      </c>
      <c r="M41" t="n">
        <v>2.941</v>
      </c>
      <c r="N41" t="n">
        <v>3.245</v>
      </c>
      <c r="O41" t="n">
        <v>3.293</v>
      </c>
      <c r="P41" t="n">
        <v>3.399</v>
      </c>
    </row>
    <row r="42">
      <c r="A42" s="3" t="n">
        <v>46084</v>
      </c>
      <c r="B42" t="n">
        <v>1.024</v>
      </c>
      <c r="C42" t="n">
        <v>1.25</v>
      </c>
      <c r="D42" t="n">
        <v>1.352</v>
      </c>
      <c r="E42" t="n">
        <v>1.494</v>
      </c>
      <c r="F42" t="n">
        <v>1.611</v>
      </c>
      <c r="G42" t="n">
        <v>1.7</v>
      </c>
      <c r="H42" t="n">
        <v>1.795</v>
      </c>
      <c r="I42" t="n">
        <v>1.919</v>
      </c>
      <c r="J42" t="n">
        <v>2.034</v>
      </c>
      <c r="K42" t="n">
        <v>2.148</v>
      </c>
      <c r="L42" t="n">
        <v>2.67</v>
      </c>
      <c r="M42" t="n">
        <v>3.004</v>
      </c>
      <c r="N42" t="n">
        <v>3.308</v>
      </c>
      <c r="O42" t="n">
        <v>3.337</v>
      </c>
      <c r="P42" t="n">
        <v>3.431</v>
      </c>
    </row>
    <row r="43">
      <c r="A43" s="3" t="n">
        <v>46085</v>
      </c>
      <c r="B43" t="n">
        <v>1.005</v>
      </c>
      <c r="C43" t="n">
        <v>1.235</v>
      </c>
      <c r="D43" t="n">
        <v>1.336</v>
      </c>
      <c r="E43" t="n">
        <v>1.48</v>
      </c>
      <c r="F43" t="n">
        <v>1.597</v>
      </c>
      <c r="G43" t="n">
        <v>1.686</v>
      </c>
      <c r="H43" t="n">
        <v>1.778</v>
      </c>
      <c r="I43" t="n">
        <v>1.902</v>
      </c>
      <c r="J43" t="n">
        <v>2.022</v>
      </c>
      <c r="K43" t="n">
        <v>2.134</v>
      </c>
      <c r="L43" t="n">
        <v>2.668</v>
      </c>
      <c r="M43" t="n">
        <v>3.008</v>
      </c>
      <c r="N43" t="n">
        <v>3.318</v>
      </c>
      <c r="O43" t="n">
        <v>3.353</v>
      </c>
      <c r="P43" t="n">
        <v>3.45</v>
      </c>
    </row>
    <row r="44">
      <c r="A44" s="3" t="n">
        <v>46086</v>
      </c>
      <c r="B44" t="n">
        <v>1.006</v>
      </c>
      <c r="C44" t="n">
        <v>1.256</v>
      </c>
      <c r="D44" t="n">
        <v>1.371</v>
      </c>
      <c r="E44" t="n">
        <v>1.524</v>
      </c>
      <c r="F44" t="n">
        <v>1.641</v>
      </c>
      <c r="G44" t="n">
        <v>1.731</v>
      </c>
      <c r="H44" t="n">
        <v>1.824</v>
      </c>
      <c r="I44" t="n">
        <v>1.948</v>
      </c>
      <c r="J44" t="n">
        <v>2.066</v>
      </c>
      <c r="K44" t="n">
        <v>2.175</v>
      </c>
      <c r="L44" t="n">
        <v>2.697</v>
      </c>
      <c r="M44" t="n">
        <v>3.026</v>
      </c>
      <c r="N44" t="n">
        <v>3.331</v>
      </c>
      <c r="O44" t="n">
        <v>3.374</v>
      </c>
      <c r="P44" t="n">
        <v>3.462</v>
      </c>
    </row>
    <row r="45">
      <c r="A45" s="3" t="n">
        <v>46087</v>
      </c>
      <c r="B45" t="n">
        <v>0.997</v>
      </c>
      <c r="C45" t="n">
        <v>1.246</v>
      </c>
      <c r="D45" t="n">
        <v>1.362</v>
      </c>
      <c r="E45" t="n">
        <v>1.517</v>
      </c>
      <c r="F45" t="n">
        <v>1.637</v>
      </c>
      <c r="G45" t="n">
        <v>1.729</v>
      </c>
      <c r="H45" t="n">
        <v>1.82</v>
      </c>
      <c r="I45" t="n">
        <v>1.946</v>
      </c>
      <c r="J45" t="n">
        <v>2.067</v>
      </c>
      <c r="K45" t="n">
        <v>2.18</v>
      </c>
      <c r="L45" t="n">
        <v>2.707</v>
      </c>
      <c r="M45" t="n">
        <v>3.042</v>
      </c>
      <c r="N45" t="n">
        <v>3.34</v>
      </c>
      <c r="O45" t="n">
        <v>3.384</v>
      </c>
      <c r="P45" t="n">
        <v>3.465</v>
      </c>
    </row>
    <row r="46">
      <c r="A46" s="3" t="n">
        <v>46090</v>
      </c>
      <c r="B46" t="n">
        <v>0.99</v>
      </c>
      <c r="C46" t="n">
        <v>1.242</v>
      </c>
      <c r="D46" t="n">
        <v>1.359</v>
      </c>
      <c r="E46" t="n">
        <v>1.523</v>
      </c>
      <c r="F46" t="n">
        <v>1.644</v>
      </c>
      <c r="G46" t="n">
        <v>1.746</v>
      </c>
      <c r="H46" t="n">
        <v>1.838</v>
      </c>
      <c r="I46" t="n">
        <v>1.966</v>
      </c>
      <c r="J46" t="n">
        <v>2.086</v>
      </c>
      <c r="K46" t="n">
        <v>2.205</v>
      </c>
      <c r="L46" t="n">
        <v>2.748</v>
      </c>
      <c r="M46" t="n">
        <v>3.09</v>
      </c>
      <c r="N46" t="n">
        <v>3.39</v>
      </c>
      <c r="O46" t="n">
        <v>3.44</v>
      </c>
      <c r="P46" t="n">
        <v>3.51</v>
      </c>
    </row>
    <row r="47">
      <c r="A47" s="3" t="n">
        <v>46091</v>
      </c>
      <c r="B47" t="n">
        <v>1.002</v>
      </c>
      <c r="C47" t="n">
        <v>1.258</v>
      </c>
      <c r="D47" t="n">
        <v>1.364</v>
      </c>
      <c r="E47" t="n">
        <v>1.529</v>
      </c>
      <c r="F47" t="n">
        <v>1.648</v>
      </c>
      <c r="G47" t="n">
        <v>1.747</v>
      </c>
      <c r="H47" t="n">
        <v>1.839</v>
      </c>
      <c r="I47" t="n">
        <v>1.963</v>
      </c>
      <c r="J47" t="n">
        <v>2.081</v>
      </c>
      <c r="K47" t="n">
        <v>2.199</v>
      </c>
      <c r="L47" t="n">
        <v>2.726</v>
      </c>
      <c r="M47" t="n">
        <v>3.069</v>
      </c>
      <c r="N47" t="n">
        <v>3.368</v>
      </c>
      <c r="O47" t="n">
        <v>3.412</v>
      </c>
      <c r="P47" t="n">
        <v>3.501</v>
      </c>
    </row>
    <row r="48">
      <c r="A48" s="3" t="n">
        <v>46092</v>
      </c>
      <c r="B48" t="n">
        <v>0.992</v>
      </c>
      <c r="C48" t="n">
        <v>1.253</v>
      </c>
      <c r="D48" t="n">
        <v>1.351</v>
      </c>
      <c r="E48" t="n">
        <v>1.514</v>
      </c>
      <c r="F48" t="n">
        <v>1.633</v>
      </c>
      <c r="G48" t="n">
        <v>1.724</v>
      </c>
      <c r="H48" t="n">
        <v>1.82</v>
      </c>
      <c r="I48" t="n">
        <v>1.941</v>
      </c>
      <c r="J48" t="n">
        <v>2.059</v>
      </c>
      <c r="K48" t="n">
        <v>2.178</v>
      </c>
      <c r="L48" t="n">
        <v>2.72</v>
      </c>
      <c r="M48" t="n">
        <v>3.069</v>
      </c>
      <c r="N48" t="n">
        <v>3.369</v>
      </c>
      <c r="O48" t="n">
        <v>3.421</v>
      </c>
      <c r="P48" t="n">
        <v>3.525</v>
      </c>
    </row>
    <row r="49">
      <c r="A49" s="3" t="n">
        <v>46093</v>
      </c>
      <c r="B49" t="n">
        <v>0.993</v>
      </c>
      <c r="C49" t="n">
        <v>1.263</v>
      </c>
      <c r="D49" t="n">
        <v>1.366</v>
      </c>
      <c r="E49" t="n">
        <v>1.531</v>
      </c>
      <c r="F49" t="n">
        <v>1.646</v>
      </c>
      <c r="G49" t="n">
        <v>1.743</v>
      </c>
      <c r="H49" t="n">
        <v>1.846</v>
      </c>
      <c r="I49" t="n">
        <v>1.968</v>
      </c>
      <c r="J49" t="n">
        <v>2.086</v>
      </c>
      <c r="K49" t="n">
        <v>2.201</v>
      </c>
      <c r="L49" t="n">
        <v>2.742</v>
      </c>
      <c r="M49" t="n">
        <v>3.095</v>
      </c>
      <c r="N49" t="n">
        <v>3.406</v>
      </c>
      <c r="O49" t="n">
        <v>3.451</v>
      </c>
      <c r="P49" t="n">
        <v>3.56</v>
      </c>
    </row>
    <row r="50">
      <c r="A50" s="3" t="n">
        <v>46094</v>
      </c>
      <c r="B50" t="n">
        <v>1.008</v>
      </c>
      <c r="C50" t="n">
        <v>1.289</v>
      </c>
      <c r="D50" t="n">
        <v>1.395</v>
      </c>
      <c r="E50" t="n">
        <v>1.573</v>
      </c>
      <c r="F50" t="n">
        <v>1.7</v>
      </c>
      <c r="G50" t="n">
        <v>1.793</v>
      </c>
      <c r="H50" t="n">
        <v>1.902</v>
      </c>
      <c r="I50" t="n">
        <v>2.021</v>
      </c>
      <c r="J50" t="n">
        <v>2.141</v>
      </c>
      <c r="K50" t="n">
        <v>2.255</v>
      </c>
      <c r="L50" t="n">
        <v>2.782</v>
      </c>
      <c r="M50" t="n">
        <v>3.133</v>
      </c>
      <c r="N50" t="n">
        <v>3.444</v>
      </c>
      <c r="O50" t="n">
        <v>3.479</v>
      </c>
      <c r="P50" t="n">
        <v>3.577</v>
      </c>
    </row>
    <row r="51">
      <c r="A51" s="3" t="n">
        <v>46097</v>
      </c>
      <c r="B51" t="n">
        <v>1.008</v>
      </c>
      <c r="C51" t="n">
        <v>1.287</v>
      </c>
      <c r="D51" t="n">
        <v>1.402</v>
      </c>
      <c r="E51" t="n">
        <v>1.586</v>
      </c>
      <c r="F51" t="n">
        <v>1.709</v>
      </c>
      <c r="G51" t="n">
        <v>1.809</v>
      </c>
      <c r="H51" t="n">
        <v>1.92</v>
      </c>
      <c r="I51" t="n">
        <v>2.046</v>
      </c>
      <c r="J51" t="n">
        <v>2.169</v>
      </c>
      <c r="K51" t="n">
        <v>2.288</v>
      </c>
      <c r="L51" t="n">
        <v>2.814</v>
      </c>
      <c r="M51" t="n">
        <v>3.167</v>
      </c>
      <c r="N51" t="n">
        <v>3.477</v>
      </c>
      <c r="O51" t="n">
        <v>3.515</v>
      </c>
      <c r="P51" t="n">
        <v>3.619</v>
      </c>
    </row>
    <row r="52">
      <c r="A52" s="3" t="n">
        <v>46098</v>
      </c>
      <c r="B52" t="n">
        <v>1.014</v>
      </c>
      <c r="C52" t="n">
        <v>1.28</v>
      </c>
      <c r="D52" t="n">
        <v>1.4</v>
      </c>
      <c r="E52" t="n">
        <v>1.581</v>
      </c>
      <c r="F52" t="n">
        <v>1.7</v>
      </c>
      <c r="G52" t="n">
        <v>1.804</v>
      </c>
      <c r="H52" t="n">
        <v>1.916</v>
      </c>
      <c r="I52" t="n">
        <v>2.041</v>
      </c>
      <c r="J52" t="n">
        <v>2.165</v>
      </c>
      <c r="K52" t="n">
        <v>2.279</v>
      </c>
      <c r="L52" t="n">
        <v>2.808</v>
      </c>
      <c r="M52" t="n">
        <v>3.155</v>
      </c>
      <c r="N52" t="n">
        <v>3.474</v>
      </c>
      <c r="O52" t="n">
        <v>3.514</v>
      </c>
      <c r="P52" t="n">
        <v>3.607</v>
      </c>
    </row>
    <row r="53">
      <c r="A53" s="3" t="n">
        <v>46099</v>
      </c>
      <c r="B53" t="n">
        <v>1</v>
      </c>
      <c r="C53" t="n">
        <v>1.261</v>
      </c>
      <c r="D53" t="n">
        <v>1.377</v>
      </c>
      <c r="E53" t="n">
        <v>1.543</v>
      </c>
      <c r="F53" t="n">
        <v>1.663</v>
      </c>
      <c r="G53" t="n">
        <v>1.761</v>
      </c>
      <c r="H53" t="n">
        <v>1.867</v>
      </c>
      <c r="I53" t="n">
        <v>1.993</v>
      </c>
      <c r="J53" t="n">
        <v>2.119</v>
      </c>
      <c r="K53" t="n">
        <v>2.231</v>
      </c>
      <c r="L53" t="n">
        <v>2.758</v>
      </c>
      <c r="M53" t="n">
        <v>3.113</v>
      </c>
      <c r="N53" t="n">
        <v>3.429</v>
      </c>
      <c r="O53" t="n">
        <v>3.462</v>
      </c>
      <c r="P53" t="n">
        <v>3.558</v>
      </c>
    </row>
    <row r="54">
      <c r="A54" s="3" t="n">
        <v>46100</v>
      </c>
      <c r="B54" t="n">
        <v>1.021</v>
      </c>
      <c r="C54" t="n">
        <v>1.277</v>
      </c>
      <c r="D54" t="n">
        <v>1.399</v>
      </c>
      <c r="E54" t="n">
        <v>1.567</v>
      </c>
      <c r="F54" t="n">
        <v>1.691</v>
      </c>
      <c r="G54" t="n">
        <v>1.795</v>
      </c>
      <c r="H54" t="n">
        <v>1.903</v>
      </c>
      <c r="I54" t="n">
        <v>2.034</v>
      </c>
      <c r="J54" t="n">
        <v>2.157</v>
      </c>
      <c r="K54" t="n">
        <v>2.273</v>
      </c>
      <c r="L54" t="n">
        <v>2.793</v>
      </c>
      <c r="M54" t="n">
        <v>3.146</v>
      </c>
      <c r="N54" t="n">
        <v>3.451</v>
      </c>
      <c r="O54" t="n">
        <v>3.491</v>
      </c>
      <c r="P54" t="n">
        <v>3.583</v>
      </c>
    </row>
    <row r="55">
      <c r="A55" s="3" t="n">
        <v>46104</v>
      </c>
      <c r="B55" t="n">
        <v>1.041</v>
      </c>
      <c r="C55" t="n">
        <v>1.311</v>
      </c>
      <c r="D55" t="n">
        <v>1.437</v>
      </c>
      <c r="E55" t="n">
        <v>1.611</v>
      </c>
      <c r="F55" t="n">
        <v>1.746</v>
      </c>
      <c r="G55" t="n">
        <v>1.848</v>
      </c>
      <c r="H55" t="n">
        <v>1.953</v>
      </c>
      <c r="I55" t="n">
        <v>2.079</v>
      </c>
      <c r="J55" t="n">
        <v>2.198</v>
      </c>
      <c r="K55" t="n">
        <v>2.322</v>
      </c>
      <c r="L55" t="n">
        <v>2.83</v>
      </c>
      <c r="M55" t="n">
        <v>3.188</v>
      </c>
      <c r="N55" t="n">
        <v>3.495</v>
      </c>
      <c r="O55" t="n">
        <v>3.522</v>
      </c>
      <c r="P55" t="n">
        <v>3.606</v>
      </c>
    </row>
    <row r="56">
      <c r="A56" s="3" t="n">
        <v>46105</v>
      </c>
      <c r="B56" t="n">
        <v>1.053</v>
      </c>
      <c r="C56" t="n">
        <v>1.311</v>
      </c>
      <c r="D56" t="n">
        <v>1.431</v>
      </c>
      <c r="E56" t="n">
        <v>1.602</v>
      </c>
      <c r="F56" t="n">
        <v>1.731</v>
      </c>
      <c r="G56" t="n">
        <v>1.83</v>
      </c>
      <c r="H56" t="n">
        <v>1.932</v>
      </c>
      <c r="I56" t="n">
        <v>2.053</v>
      </c>
      <c r="J56" t="n">
        <v>2.171</v>
      </c>
      <c r="K56" t="n">
        <v>2.282</v>
      </c>
      <c r="L56" t="n">
        <v>2.802</v>
      </c>
      <c r="M56" t="n">
        <v>3.161</v>
      </c>
      <c r="N56" t="n">
        <v>3.478</v>
      </c>
      <c r="O56" t="n">
        <v>3.509</v>
      </c>
      <c r="P56" t="n">
        <v>3.598</v>
      </c>
    </row>
    <row r="57">
      <c r="A57" s="3" t="n">
        <v>46106</v>
      </c>
      <c r="B57" t="n">
        <v>1.064</v>
      </c>
      <c r="C57" t="n">
        <v>1.317</v>
      </c>
      <c r="D57" t="n">
        <v>1.443</v>
      </c>
      <c r="E57" t="n">
        <v>1.61</v>
      </c>
      <c r="F57" t="n">
        <v>1.74</v>
      </c>
      <c r="G57" t="n">
        <v>1.829</v>
      </c>
      <c r="H57" t="n">
        <v>1.923</v>
      </c>
      <c r="I57" t="n">
        <v>2.044</v>
      </c>
      <c r="J57" t="n">
        <v>2.158</v>
      </c>
      <c r="K57" t="n">
        <v>2.267</v>
      </c>
      <c r="L57" t="n">
        <v>2.793</v>
      </c>
      <c r="M57" t="n">
        <v>3.136</v>
      </c>
      <c r="N57" t="n">
        <v>3.447</v>
      </c>
      <c r="O57" t="n">
        <v>3.479</v>
      </c>
      <c r="P57" t="n">
        <v>3.565</v>
      </c>
    </row>
    <row r="58">
      <c r="A58" s="3" t="n">
        <v>46107</v>
      </c>
      <c r="B58" t="n">
        <v>1.084</v>
      </c>
      <c r="C58" t="n">
        <v>1.348</v>
      </c>
      <c r="D58" t="n">
        <v>1.472</v>
      </c>
      <c r="E58" t="n">
        <v>1.64</v>
      </c>
      <c r="F58" t="n">
        <v>1.761</v>
      </c>
      <c r="G58" t="n">
        <v>1.856</v>
      </c>
      <c r="H58" t="n">
        <v>1.953</v>
      </c>
      <c r="I58" t="n">
        <v>2.07</v>
      </c>
      <c r="J58" t="n">
        <v>2.185</v>
      </c>
      <c r="K58" t="n">
        <v>2.286</v>
      </c>
      <c r="L58" t="n">
        <v>2.81</v>
      </c>
      <c r="M58" t="n">
        <v>3.148</v>
      </c>
      <c r="N58" t="n">
        <v>3.452</v>
      </c>
      <c r="O58" t="n">
        <v>3.489</v>
      </c>
      <c r="P58" t="n">
        <v>3.556</v>
      </c>
    </row>
    <row r="59">
      <c r="A59" s="3" t="n">
        <v>46108</v>
      </c>
      <c r="B59" t="n">
        <v>1.105</v>
      </c>
      <c r="C59" t="n">
        <v>1.393</v>
      </c>
      <c r="D59" t="n">
        <v>1.526</v>
      </c>
      <c r="E59" t="n">
        <v>1.71</v>
      </c>
      <c r="F59" t="n">
        <v>1.836</v>
      </c>
      <c r="G59" t="n">
        <v>1.934</v>
      </c>
      <c r="H59" t="n">
        <v>2.035</v>
      </c>
      <c r="I59" t="n">
        <v>2.161</v>
      </c>
      <c r="J59" t="n">
        <v>2.274</v>
      </c>
      <c r="K59" t="n">
        <v>2.38</v>
      </c>
      <c r="L59" t="n">
        <v>2.915</v>
      </c>
      <c r="M59" t="n">
        <v>3.268</v>
      </c>
      <c r="N59" t="n">
        <v>3.574</v>
      </c>
      <c r="O59" t="n">
        <v>3.629</v>
      </c>
      <c r="P59" t="n">
        <v>3.717</v>
      </c>
    </row>
    <row r="60">
      <c r="A60" s="3" t="n">
        <v>46111</v>
      </c>
      <c r="B60" t="n">
        <v>1.109</v>
      </c>
      <c r="C60" t="n">
        <v>1.369</v>
      </c>
      <c r="D60" t="n">
        <v>1.498</v>
      </c>
      <c r="E60" t="n">
        <v>1.676</v>
      </c>
      <c r="F60" t="n">
        <v>1.804</v>
      </c>
      <c r="G60" t="n">
        <v>1.913</v>
      </c>
      <c r="H60" t="n">
        <v>2.015</v>
      </c>
      <c r="I60" t="n">
        <v>2.14</v>
      </c>
      <c r="J60" t="n">
        <v>2.258</v>
      </c>
      <c r="K60" t="n">
        <v>2.368</v>
      </c>
      <c r="L60" t="n">
        <v>2.93</v>
      </c>
      <c r="M60" t="n">
        <v>3.307</v>
      </c>
      <c r="N60" t="n">
        <v>3.637</v>
      </c>
      <c r="O60" t="n">
        <v>3.698</v>
      </c>
      <c r="P60" t="n">
        <v>3.802</v>
      </c>
    </row>
    <row r="61">
      <c r="A61" s="3" t="n">
        <v>46112</v>
      </c>
      <c r="B61" t="n">
        <v>1.102</v>
      </c>
      <c r="C61" t="n">
        <v>1.375</v>
      </c>
      <c r="D61" t="n">
        <v>1.503</v>
      </c>
      <c r="E61" t="n">
        <v>1.677</v>
      </c>
      <c r="F61" t="n">
        <v>1.804</v>
      </c>
      <c r="G61" t="n">
        <v>1.913</v>
      </c>
      <c r="H61" t="n">
        <v>2.019</v>
      </c>
      <c r="I61" t="n">
        <v>2.139</v>
      </c>
      <c r="J61" t="n">
        <v>2.257</v>
      </c>
      <c r="K61" t="n">
        <v>2.366</v>
      </c>
      <c r="L61" t="n">
        <v>2.927</v>
      </c>
      <c r="M61" t="n">
        <v>3.284</v>
      </c>
      <c r="N61" t="n">
        <v>3.589</v>
      </c>
      <c r="O61" t="n">
        <v>3.64</v>
      </c>
      <c r="P61" t="n">
        <v>3.713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Source: FRED DEXJPUS — Japanese Yen to U.S. Dollar spot rate</t>
        </is>
      </c>
    </row>
    <row r="3">
      <c r="A3" s="2" t="inlineStr">
        <is>
          <t>Date</t>
        </is>
      </c>
      <c r="B3" s="2" t="inlineStr">
        <is>
          <t>USD/JPY</t>
        </is>
      </c>
    </row>
    <row r="4">
      <c r="A4" s="3" t="n">
        <v>46022</v>
      </c>
      <c r="B4" t="n">
        <v>156.8</v>
      </c>
    </row>
    <row r="5">
      <c r="A5" s="3" t="n">
        <v>46024</v>
      </c>
      <c r="B5" t="n">
        <v>156.72</v>
      </c>
    </row>
    <row r="6">
      <c r="A6" s="3" t="n">
        <v>46027</v>
      </c>
      <c r="B6" t="n">
        <v>156.32</v>
      </c>
    </row>
    <row r="7">
      <c r="A7" s="3" t="n">
        <v>46028</v>
      </c>
      <c r="B7" t="n">
        <v>156.7</v>
      </c>
    </row>
    <row r="8">
      <c r="A8" s="3" t="n">
        <v>46029</v>
      </c>
      <c r="B8" t="n">
        <v>156.73</v>
      </c>
    </row>
    <row r="9">
      <c r="A9" s="3" t="n">
        <v>46030</v>
      </c>
      <c r="B9" t="n">
        <v>156.9</v>
      </c>
    </row>
    <row r="10">
      <c r="A10" s="3" t="n">
        <v>46031</v>
      </c>
      <c r="B10" t="n">
        <v>158.07</v>
      </c>
    </row>
    <row r="11">
      <c r="A11" s="3" t="n">
        <v>46034</v>
      </c>
      <c r="B11" t="n">
        <v>158.15</v>
      </c>
    </row>
    <row r="12">
      <c r="A12" s="3" t="n">
        <v>46035</v>
      </c>
      <c r="B12" t="n">
        <v>159.06</v>
      </c>
    </row>
    <row r="13">
      <c r="A13" s="3" t="n">
        <v>46036</v>
      </c>
      <c r="B13" t="n">
        <v>158.13</v>
      </c>
    </row>
    <row r="14">
      <c r="A14" s="3" t="n">
        <v>46037</v>
      </c>
      <c r="B14" t="n">
        <v>158.5</v>
      </c>
    </row>
    <row r="15">
      <c r="A15" s="3" t="n">
        <v>46038</v>
      </c>
      <c r="B15" t="n">
        <v>158.02</v>
      </c>
    </row>
    <row r="16">
      <c r="A16" s="3" t="n">
        <v>46042</v>
      </c>
      <c r="B16" t="n">
        <v>157.89</v>
      </c>
    </row>
    <row r="17">
      <c r="A17" s="3" t="n">
        <v>46043</v>
      </c>
      <c r="B17" t="n">
        <v>158.16</v>
      </c>
    </row>
    <row r="18">
      <c r="A18" s="3" t="n">
        <v>46044</v>
      </c>
      <c r="B18" t="n">
        <v>158.36</v>
      </c>
    </row>
    <row r="19">
      <c r="A19" s="3" t="n">
        <v>46045</v>
      </c>
      <c r="B19" t="n">
        <v>157.57</v>
      </c>
    </row>
    <row r="20">
      <c r="A20" s="3" t="n">
        <v>46048</v>
      </c>
      <c r="B20" t="n">
        <v>153.88</v>
      </c>
    </row>
    <row r="21">
      <c r="A21" s="3" t="n">
        <v>46049</v>
      </c>
      <c r="B21" t="n">
        <v>153.03</v>
      </c>
    </row>
    <row r="22">
      <c r="A22" s="3" t="n">
        <v>46050</v>
      </c>
      <c r="B22" t="n">
        <v>153.6</v>
      </c>
    </row>
    <row r="23">
      <c r="A23" s="3" t="n">
        <v>46051</v>
      </c>
      <c r="B23" t="n">
        <v>152.88</v>
      </c>
    </row>
    <row r="24">
      <c r="A24" s="3" t="n">
        <v>46052</v>
      </c>
      <c r="B24" t="n">
        <v>154.34</v>
      </c>
    </row>
    <row r="25">
      <c r="A25" s="3" t="n">
        <v>46055</v>
      </c>
      <c r="B25" t="n">
        <v>155.5</v>
      </c>
    </row>
    <row r="26">
      <c r="A26" s="3" t="n">
        <v>46056</v>
      </c>
      <c r="B26" t="n">
        <v>155.7</v>
      </c>
    </row>
    <row r="27">
      <c r="A27" s="3" t="n">
        <v>46057</v>
      </c>
      <c r="B27" t="n">
        <v>156.61</v>
      </c>
    </row>
    <row r="28">
      <c r="A28" s="3" t="n">
        <v>46058</v>
      </c>
      <c r="B28" t="n">
        <v>156.91</v>
      </c>
    </row>
    <row r="29">
      <c r="A29" s="3" t="n">
        <v>46059</v>
      </c>
      <c r="B29" t="n">
        <v>157.1</v>
      </c>
    </row>
    <row r="30">
      <c r="A30" s="3" t="n">
        <v>46062</v>
      </c>
      <c r="B30" t="n">
        <v>156.08</v>
      </c>
    </row>
    <row r="31">
      <c r="A31" s="3" t="n">
        <v>46063</v>
      </c>
      <c r="B31" t="n">
        <v>154.28</v>
      </c>
    </row>
    <row r="32">
      <c r="A32" s="3" t="n">
        <v>46064</v>
      </c>
      <c r="B32" t="n">
        <v>152.93</v>
      </c>
    </row>
    <row r="33">
      <c r="A33" s="3" t="n">
        <v>46065</v>
      </c>
      <c r="B33" t="n">
        <v>152.64</v>
      </c>
    </row>
    <row r="34">
      <c r="A34" s="3" t="n">
        <v>46066</v>
      </c>
      <c r="B34" t="n">
        <v>152.77</v>
      </c>
    </row>
    <row r="35">
      <c r="A35" s="3" t="n">
        <v>46070</v>
      </c>
      <c r="B35" t="n">
        <v>153.57</v>
      </c>
    </row>
    <row r="36">
      <c r="A36" s="3" t="n">
        <v>46071</v>
      </c>
      <c r="B36" t="n">
        <v>154.45</v>
      </c>
    </row>
    <row r="37">
      <c r="A37" s="3" t="n">
        <v>46072</v>
      </c>
      <c r="B37" t="n">
        <v>154.96</v>
      </c>
    </row>
    <row r="38">
      <c r="A38" s="3" t="n">
        <v>46073</v>
      </c>
      <c r="B38" t="n">
        <v>154.99</v>
      </c>
    </row>
    <row r="39">
      <c r="A39" s="3" t="n">
        <v>46076</v>
      </c>
      <c r="B39" t="n">
        <v>154.3</v>
      </c>
    </row>
    <row r="40">
      <c r="A40" s="3" t="n">
        <v>46077</v>
      </c>
      <c r="B40" t="n">
        <v>155.66</v>
      </c>
    </row>
    <row r="41">
      <c r="A41" s="3" t="n">
        <v>46078</v>
      </c>
      <c r="B41" t="n">
        <v>156.3</v>
      </c>
    </row>
    <row r="42">
      <c r="A42" s="3" t="n">
        <v>46079</v>
      </c>
      <c r="B42" t="n">
        <v>156.13</v>
      </c>
    </row>
    <row r="43">
      <c r="A43" s="3" t="n">
        <v>46080</v>
      </c>
      <c r="B43" t="n">
        <v>156.05</v>
      </c>
    </row>
    <row r="44">
      <c r="A44" s="3" t="n">
        <v>46083</v>
      </c>
      <c r="B44" t="n">
        <v>157.48</v>
      </c>
    </row>
    <row r="45">
      <c r="A45" s="3" t="n">
        <v>46084</v>
      </c>
      <c r="B45" t="n">
        <v>157.69</v>
      </c>
    </row>
    <row r="46">
      <c r="A46" s="3" t="n">
        <v>46085</v>
      </c>
      <c r="B46" t="n">
        <v>156.93</v>
      </c>
    </row>
    <row r="47">
      <c r="A47" s="3" t="n">
        <v>46086</v>
      </c>
      <c r="B47" t="n">
        <v>157.58</v>
      </c>
    </row>
    <row r="48">
      <c r="A48" s="3" t="n">
        <v>46087</v>
      </c>
      <c r="B48" t="n">
        <v>157.64</v>
      </c>
    </row>
    <row r="49">
      <c r="A49" s="3" t="n">
        <v>46090</v>
      </c>
      <c r="B49" t="n">
        <v>158.08</v>
      </c>
    </row>
    <row r="50">
      <c r="A50" s="3" t="n">
        <v>46091</v>
      </c>
      <c r="B50" t="n">
        <v>157.6</v>
      </c>
    </row>
    <row r="51">
      <c r="A51" s="3" t="n">
        <v>46092</v>
      </c>
      <c r="B51" t="n">
        <v>158.83</v>
      </c>
    </row>
    <row r="52">
      <c r="A52" s="3" t="n">
        <v>46093</v>
      </c>
      <c r="B52" t="n">
        <v>159.21</v>
      </c>
    </row>
    <row r="53">
      <c r="A53" s="3" t="n">
        <v>46094</v>
      </c>
      <c r="B53" t="n">
        <v>159.54</v>
      </c>
    </row>
    <row r="54">
      <c r="A54" s="3" t="n">
        <v>46097</v>
      </c>
      <c r="B54" t="n">
        <v>159.3</v>
      </c>
    </row>
    <row r="55">
      <c r="A55" s="3" t="n">
        <v>46098</v>
      </c>
      <c r="B55" t="n">
        <v>159.03</v>
      </c>
    </row>
    <row r="56">
      <c r="A56" s="3" t="n">
        <v>46099</v>
      </c>
      <c r="B56" t="n">
        <v>159.48</v>
      </c>
    </row>
    <row r="57">
      <c r="A57" s="3" t="n">
        <v>46100</v>
      </c>
      <c r="B57" t="n">
        <v>158.19</v>
      </c>
    </row>
    <row r="58">
      <c r="A58" s="3" t="n">
        <v>46101</v>
      </c>
      <c r="B58" t="n">
        <v>159.26</v>
      </c>
    </row>
    <row r="59">
      <c r="A59" s="3" t="n">
        <v>46104</v>
      </c>
      <c r="B59" t="n">
        <v>158.7</v>
      </c>
    </row>
    <row r="60">
      <c r="A60" s="3" t="n">
        <v>46105</v>
      </c>
      <c r="B60" t="n">
        <v>158.9</v>
      </c>
    </row>
    <row r="61">
      <c r="A61" s="3" t="n">
        <v>46106</v>
      </c>
      <c r="B61" t="n">
        <v>159.2</v>
      </c>
    </row>
    <row r="62">
      <c r="A62" s="3" t="n">
        <v>46107</v>
      </c>
      <c r="B62" t="n">
        <v>159.65</v>
      </c>
    </row>
    <row r="63">
      <c r="A63" s="3" t="n">
        <v>46108</v>
      </c>
      <c r="B63" t="n">
        <v>160.16</v>
      </c>
    </row>
    <row r="64">
      <c r="A64" s="3" t="n">
        <v>46111</v>
      </c>
      <c r="B64" t="n">
        <v>159.49</v>
      </c>
    </row>
    <row r="65">
      <c r="A65" s="3" t="n">
        <v>46112</v>
      </c>
      <c r="B65" t="n">
        <v>159.08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Source: IMF World Economic Outlook (DataMapper API)</t>
        </is>
      </c>
    </row>
    <row r="3">
      <c r="A3" s="2" t="inlineStr">
        <is>
          <t>Indicator</t>
        </is>
      </c>
      <c r="B3" s="2" t="inlineStr">
        <is>
          <t>Country</t>
        </is>
      </c>
      <c r="C3" s="2" t="inlineStr">
        <is>
          <t>2024</t>
        </is>
      </c>
      <c r="D3" s="2" t="inlineStr">
        <is>
          <t>2025</t>
        </is>
      </c>
      <c r="E3" s="2" t="inlineStr">
        <is>
          <t>2026</t>
        </is>
      </c>
      <c r="F3" s="2" t="inlineStr">
        <is>
          <t>2027</t>
        </is>
      </c>
      <c r="G3" s="2" t="inlineStr">
        <is>
          <t>2028</t>
        </is>
      </c>
      <c r="H3" s="2" t="inlineStr">
        <is>
          <t>2029</t>
        </is>
      </c>
      <c r="I3" s="2" t="inlineStr">
        <is>
          <t>2030</t>
        </is>
      </c>
      <c r="J3" s="2" t="inlineStr">
        <is>
          <t>2031</t>
        </is>
      </c>
    </row>
    <row r="4">
      <c r="A4" s="4" t="inlineStr">
        <is>
          <t>Real GDP growth (%)</t>
        </is>
      </c>
      <c r="B4" s="5" t="inlineStr">
        <is>
          <t>NGDP_RPCH</t>
        </is>
      </c>
    </row>
    <row r="5">
      <c r="B5" t="inlineStr">
        <is>
          <t>USA</t>
        </is>
      </c>
      <c r="C5" t="n">
        <v>2.8</v>
      </c>
      <c r="D5" t="n">
        <v>2.1</v>
      </c>
      <c r="E5" t="n">
        <v>2.3</v>
      </c>
      <c r="F5" t="n">
        <v>2.1</v>
      </c>
      <c r="G5" t="n">
        <v>2.1</v>
      </c>
      <c r="H5" t="n">
        <v>1.9</v>
      </c>
      <c r="I5" t="n">
        <v>1.8</v>
      </c>
      <c r="J5" t="n">
        <v>1.8</v>
      </c>
    </row>
    <row r="6">
      <c r="B6" t="inlineStr">
        <is>
          <t>JPN</t>
        </is>
      </c>
      <c r="C6" t="n">
        <v>-0.2</v>
      </c>
      <c r="D6" t="n">
        <v>1.2</v>
      </c>
      <c r="E6" t="n">
        <v>0.7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</row>
    <row r="8">
      <c r="A8" s="4" t="inlineStr">
        <is>
          <t>Inflation, avg CPI (%)</t>
        </is>
      </c>
      <c r="B8" s="5" t="inlineStr">
        <is>
          <t>PCPIPCH</t>
        </is>
      </c>
    </row>
    <row r="9">
      <c r="B9" t="inlineStr">
        <is>
          <t>USA</t>
        </is>
      </c>
      <c r="C9" t="n">
        <v>3</v>
      </c>
      <c r="D9" t="n">
        <v>2.7</v>
      </c>
      <c r="E9" t="n">
        <v>3.2</v>
      </c>
      <c r="F9" t="n">
        <v>2.1</v>
      </c>
      <c r="G9" t="n">
        <v>2.2</v>
      </c>
      <c r="H9" t="n">
        <v>2.2</v>
      </c>
      <c r="I9" t="n">
        <v>2.2</v>
      </c>
      <c r="J9" t="n">
        <v>2.2</v>
      </c>
    </row>
    <row r="10">
      <c r="B10" t="inlineStr">
        <is>
          <t>JPN</t>
        </is>
      </c>
      <c r="C10" t="n">
        <v>2.7</v>
      </c>
      <c r="D10" t="n">
        <v>3.2</v>
      </c>
      <c r="E10" t="n">
        <v>2.2</v>
      </c>
      <c r="F10" t="n">
        <v>2.3</v>
      </c>
      <c r="G10" t="n">
        <v>2</v>
      </c>
      <c r="H10" t="n">
        <v>2</v>
      </c>
      <c r="I10" t="n">
        <v>2</v>
      </c>
      <c r="J10" t="n">
        <v>2</v>
      </c>
    </row>
    <row r="12">
      <c r="A12" s="4" t="inlineStr">
        <is>
          <t>Gen govt gross debt (% GDP)</t>
        </is>
      </c>
      <c r="B12" s="5" t="inlineStr">
        <is>
          <t>GGXWDG_NGDP</t>
        </is>
      </c>
    </row>
    <row r="13">
      <c r="B13" t="inlineStr">
        <is>
          <t>USA</t>
        </is>
      </c>
      <c r="C13" t="n">
        <v>122.3</v>
      </c>
      <c r="D13" t="n">
        <v>123.9</v>
      </c>
      <c r="E13" t="n">
        <v>125.8</v>
      </c>
      <c r="F13" t="n">
        <v>128.6</v>
      </c>
      <c r="G13" t="n">
        <v>132.1</v>
      </c>
      <c r="H13" t="n">
        <v>135.5</v>
      </c>
      <c r="I13" t="n">
        <v>138.9</v>
      </c>
      <c r="J13" t="n">
        <v>142.1</v>
      </c>
    </row>
    <row r="14">
      <c r="B14" t="inlineStr">
        <is>
          <t>JPN</t>
        </is>
      </c>
      <c r="C14" t="n">
        <v>214.5</v>
      </c>
      <c r="D14" t="n">
        <v>206.5</v>
      </c>
      <c r="E14" t="n">
        <v>204.4</v>
      </c>
      <c r="F14" t="n">
        <v>200.1</v>
      </c>
      <c r="G14" t="n">
        <v>197.7</v>
      </c>
      <c r="H14" t="n">
        <v>195.7</v>
      </c>
      <c r="I14" t="n">
        <v>193.9</v>
      </c>
      <c r="J14" t="n">
        <v>192.8</v>
      </c>
    </row>
    <row r="16">
      <c r="A16" s="4" t="inlineStr">
        <is>
          <t>Current account balance (% GDP)</t>
        </is>
      </c>
      <c r="B16" s="5" t="inlineStr">
        <is>
          <t>BCA_NGDPD</t>
        </is>
      </c>
    </row>
    <row r="17">
      <c r="B17" t="inlineStr">
        <is>
          <t>USA</t>
        </is>
      </c>
      <c r="C17" t="n">
        <v>-4</v>
      </c>
      <c r="D17" t="n">
        <v>-3.6</v>
      </c>
      <c r="E17" t="n">
        <v>-3.7</v>
      </c>
      <c r="F17" t="n">
        <v>-3.6</v>
      </c>
      <c r="G17" t="n">
        <v>-3.6</v>
      </c>
      <c r="H17" t="n">
        <v>-3.6</v>
      </c>
      <c r="I17" t="n">
        <v>-3.6</v>
      </c>
      <c r="J17" t="n">
        <v>-3.6</v>
      </c>
    </row>
    <row r="18">
      <c r="B18" t="inlineStr">
        <is>
          <t>JPN</t>
        </is>
      </c>
      <c r="C18" t="n">
        <v>4.5</v>
      </c>
      <c r="D18" t="n">
        <v>4.8</v>
      </c>
      <c r="E18" t="n">
        <v>3.8</v>
      </c>
      <c r="F18" t="n">
        <v>3.9</v>
      </c>
      <c r="G18" t="n">
        <v>3.9</v>
      </c>
      <c r="H18" t="n">
        <v>3.9</v>
      </c>
      <c r="I18" t="n">
        <v>4.1</v>
      </c>
      <c r="J18" t="n">
        <v>4.1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Daily US − JP yield differential (basis points). Lookup JP by date.</t>
        </is>
      </c>
    </row>
    <row r="3">
      <c r="A3" s="6" t="inlineStr">
        <is>
          <t>Tenor</t>
        </is>
      </c>
      <c r="B3" s="6" t="inlineStr">
        <is>
          <t>Mean (bp)</t>
        </is>
      </c>
      <c r="C3" s="6" t="inlineStr">
        <is>
          <t>Stdev (bp)</t>
        </is>
      </c>
      <c r="D3" s="6" t="inlineStr">
        <is>
          <t>Q1 close (bp)</t>
        </is>
      </c>
    </row>
    <row r="4">
      <c r="A4" t="inlineStr">
        <is>
          <t>1Y</t>
        </is>
      </c>
      <c r="B4">
        <f>AVERAGE(F10:F1000)</f>
        <v/>
      </c>
      <c r="C4">
        <f>STDEV(F10:F1000)</f>
        <v/>
      </c>
      <c r="D4">
        <f>LOOKUP(2,1/(F10:F1000&lt;&gt;""),F10:F1000)</f>
        <v/>
      </c>
    </row>
    <row r="5">
      <c r="A5" t="inlineStr">
        <is>
          <t>10Y</t>
        </is>
      </c>
      <c r="B5">
        <f>AVERAGE(G10:G1000)</f>
        <v/>
      </c>
      <c r="C5">
        <f>STDEV(G10:G1000)</f>
        <v/>
      </c>
      <c r="D5">
        <f>LOOKUP(2,1/(G10:G1000&lt;&gt;""),G10:G1000)</f>
        <v/>
      </c>
    </row>
    <row r="9">
      <c r="A9" s="2" t="inlineStr">
        <is>
          <t>Date</t>
        </is>
      </c>
      <c r="B9" s="2" t="inlineStr">
        <is>
          <t>US 1Y (%)</t>
        </is>
      </c>
      <c r="C9" s="2" t="inlineStr">
        <is>
          <t>US 10Y (%)</t>
        </is>
      </c>
      <c r="D9" s="2" t="inlineStr">
        <is>
          <t>JP 1Y (%)</t>
        </is>
      </c>
      <c r="E9" s="2" t="inlineStr">
        <is>
          <t>JP 10Y (%)</t>
        </is>
      </c>
      <c r="F9" s="2" t="inlineStr">
        <is>
          <t>Spread 1Y (bp)</t>
        </is>
      </c>
      <c r="G9" s="2" t="inlineStr">
        <is>
          <t>Spread 10Y (bp)</t>
        </is>
      </c>
    </row>
    <row r="10">
      <c r="A10" s="3">
        <f>US_Yields!A4</f>
        <v/>
      </c>
      <c r="B10">
        <f>US_Yields!H4</f>
        <v/>
      </c>
      <c r="C10">
        <f>US_Yields!M4</f>
        <v/>
      </c>
      <c r="D10">
        <f>IFERROR(INDEX(JP_Yields!B$4:B$1000,MATCH($A10,JP_Yields!A$4:A$1000,0)),)</f>
        <v/>
      </c>
      <c r="E10">
        <f>IFERROR(INDEX(JP_Yields!K$4:K$1000,MATCH($A10,JP_Yields!A$4:A$1000,0)),)</f>
        <v/>
      </c>
      <c r="F10">
        <f>IF(OR(D10="",B10=""),"",(B10-D10)*100)</f>
        <v/>
      </c>
      <c r="G10">
        <f>IF(OR(E10="",C10=""),"",(C10-E10)*100)</f>
        <v/>
      </c>
    </row>
    <row r="11">
      <c r="A11" s="3">
        <f>US_Yields!A5</f>
        <v/>
      </c>
      <c r="B11">
        <f>US_Yields!H5</f>
        <v/>
      </c>
      <c r="C11">
        <f>US_Yields!M5</f>
        <v/>
      </c>
      <c r="D11">
        <f>IFERROR(INDEX(JP_Yields!B$4:B$1000,MATCH($A11,JP_Yields!A$4:A$1000,0)),)</f>
        <v/>
      </c>
      <c r="E11">
        <f>IFERROR(INDEX(JP_Yields!K$4:K$1000,MATCH($A11,JP_Yields!A$4:A$1000,0)),)</f>
        <v/>
      </c>
      <c r="F11">
        <f>IF(OR(D11="",B11=""),"",(B11-D11)*100)</f>
        <v/>
      </c>
      <c r="G11">
        <f>IF(OR(E11="",C11=""),"",(C11-E11)*100)</f>
        <v/>
      </c>
    </row>
    <row r="12">
      <c r="A12" s="3">
        <f>US_Yields!A6</f>
        <v/>
      </c>
      <c r="B12">
        <f>US_Yields!H6</f>
        <v/>
      </c>
      <c r="C12">
        <f>US_Yields!M6</f>
        <v/>
      </c>
      <c r="D12">
        <f>IFERROR(INDEX(JP_Yields!B$4:B$1000,MATCH($A12,JP_Yields!A$4:A$1000,0)),)</f>
        <v/>
      </c>
      <c r="E12">
        <f>IFERROR(INDEX(JP_Yields!K$4:K$1000,MATCH($A12,JP_Yields!A$4:A$1000,0)),)</f>
        <v/>
      </c>
      <c r="F12">
        <f>IF(OR(D12="",B12=""),"",(B12-D12)*100)</f>
        <v/>
      </c>
      <c r="G12">
        <f>IF(OR(E12="",C12=""),"",(C12-E12)*100)</f>
        <v/>
      </c>
    </row>
    <row r="13">
      <c r="A13" s="3">
        <f>US_Yields!A7</f>
        <v/>
      </c>
      <c r="B13">
        <f>US_Yields!H7</f>
        <v/>
      </c>
      <c r="C13">
        <f>US_Yields!M7</f>
        <v/>
      </c>
      <c r="D13">
        <f>IFERROR(INDEX(JP_Yields!B$4:B$1000,MATCH($A13,JP_Yields!A$4:A$1000,0)),)</f>
        <v/>
      </c>
      <c r="E13">
        <f>IFERROR(INDEX(JP_Yields!K$4:K$1000,MATCH($A13,JP_Yields!A$4:A$1000,0)),)</f>
        <v/>
      </c>
      <c r="F13">
        <f>IF(OR(D13="",B13=""),"",(B13-D13)*100)</f>
        <v/>
      </c>
      <c r="G13">
        <f>IF(OR(E13="",C13=""),"",(C13-E13)*100)</f>
        <v/>
      </c>
    </row>
    <row r="14">
      <c r="A14" s="3">
        <f>US_Yields!A8</f>
        <v/>
      </c>
      <c r="B14">
        <f>US_Yields!H8</f>
        <v/>
      </c>
      <c r="C14">
        <f>US_Yields!M8</f>
        <v/>
      </c>
      <c r="D14">
        <f>IFERROR(INDEX(JP_Yields!B$4:B$1000,MATCH($A14,JP_Yields!A$4:A$1000,0)),)</f>
        <v/>
      </c>
      <c r="E14">
        <f>IFERROR(INDEX(JP_Yields!K$4:K$1000,MATCH($A14,JP_Yields!A$4:A$1000,0)),)</f>
        <v/>
      </c>
      <c r="F14">
        <f>IF(OR(D14="",B14=""),"",(B14-D14)*100)</f>
        <v/>
      </c>
      <c r="G14">
        <f>IF(OR(E14="",C14=""),"",(C14-E14)*100)</f>
        <v/>
      </c>
    </row>
    <row r="15">
      <c r="A15" s="3">
        <f>US_Yields!A9</f>
        <v/>
      </c>
      <c r="B15">
        <f>US_Yields!H9</f>
        <v/>
      </c>
      <c r="C15">
        <f>US_Yields!M9</f>
        <v/>
      </c>
      <c r="D15">
        <f>IFERROR(INDEX(JP_Yields!B$4:B$1000,MATCH($A15,JP_Yields!A$4:A$1000,0)),)</f>
        <v/>
      </c>
      <c r="E15">
        <f>IFERROR(INDEX(JP_Yields!K$4:K$1000,MATCH($A15,JP_Yields!A$4:A$1000,0)),)</f>
        <v/>
      </c>
      <c r="F15">
        <f>IF(OR(D15="",B15=""),"",(B15-D15)*100)</f>
        <v/>
      </c>
      <c r="G15">
        <f>IF(OR(E15="",C15=""),"",(C15-E15)*100)</f>
        <v/>
      </c>
    </row>
    <row r="16">
      <c r="A16" s="3">
        <f>US_Yields!A10</f>
        <v/>
      </c>
      <c r="B16">
        <f>US_Yields!H10</f>
        <v/>
      </c>
      <c r="C16">
        <f>US_Yields!M10</f>
        <v/>
      </c>
      <c r="D16">
        <f>IFERROR(INDEX(JP_Yields!B$4:B$1000,MATCH($A16,JP_Yields!A$4:A$1000,0)),)</f>
        <v/>
      </c>
      <c r="E16">
        <f>IFERROR(INDEX(JP_Yields!K$4:K$1000,MATCH($A16,JP_Yields!A$4:A$1000,0)),)</f>
        <v/>
      </c>
      <c r="F16">
        <f>IF(OR(D16="",B16=""),"",(B16-D16)*100)</f>
        <v/>
      </c>
      <c r="G16">
        <f>IF(OR(E16="",C16=""),"",(C16-E16)*100)</f>
        <v/>
      </c>
    </row>
    <row r="17">
      <c r="A17" s="3">
        <f>US_Yields!A11</f>
        <v/>
      </c>
      <c r="B17">
        <f>US_Yields!H11</f>
        <v/>
      </c>
      <c r="C17">
        <f>US_Yields!M11</f>
        <v/>
      </c>
      <c r="D17">
        <f>IFERROR(INDEX(JP_Yields!B$4:B$1000,MATCH($A17,JP_Yields!A$4:A$1000,0)),)</f>
        <v/>
      </c>
      <c r="E17">
        <f>IFERROR(INDEX(JP_Yields!K$4:K$1000,MATCH($A17,JP_Yields!A$4:A$1000,0)),)</f>
        <v/>
      </c>
      <c r="F17">
        <f>IF(OR(D17="",B17=""),"",(B17-D17)*100)</f>
        <v/>
      </c>
      <c r="G17">
        <f>IF(OR(E17="",C17=""),"",(C17-E17)*100)</f>
        <v/>
      </c>
    </row>
    <row r="18">
      <c r="A18" s="3">
        <f>US_Yields!A12</f>
        <v/>
      </c>
      <c r="B18">
        <f>US_Yields!H12</f>
        <v/>
      </c>
      <c r="C18">
        <f>US_Yields!M12</f>
        <v/>
      </c>
      <c r="D18">
        <f>IFERROR(INDEX(JP_Yields!B$4:B$1000,MATCH($A18,JP_Yields!A$4:A$1000,0)),)</f>
        <v/>
      </c>
      <c r="E18">
        <f>IFERROR(INDEX(JP_Yields!K$4:K$1000,MATCH($A18,JP_Yields!A$4:A$1000,0)),)</f>
        <v/>
      </c>
      <c r="F18">
        <f>IF(OR(D18="",B18=""),"",(B18-D18)*100)</f>
        <v/>
      </c>
      <c r="G18">
        <f>IF(OR(E18="",C18=""),"",(C18-E18)*100)</f>
        <v/>
      </c>
    </row>
    <row r="19">
      <c r="A19" s="3">
        <f>US_Yields!A13</f>
        <v/>
      </c>
      <c r="B19">
        <f>US_Yields!H13</f>
        <v/>
      </c>
      <c r="C19">
        <f>US_Yields!M13</f>
        <v/>
      </c>
      <c r="D19">
        <f>IFERROR(INDEX(JP_Yields!B$4:B$1000,MATCH($A19,JP_Yields!A$4:A$1000,0)),)</f>
        <v/>
      </c>
      <c r="E19">
        <f>IFERROR(INDEX(JP_Yields!K$4:K$1000,MATCH($A19,JP_Yields!A$4:A$1000,0)),)</f>
        <v/>
      </c>
      <c r="F19">
        <f>IF(OR(D19="",B19=""),"",(B19-D19)*100)</f>
        <v/>
      </c>
      <c r="G19">
        <f>IF(OR(E19="",C19=""),"",(C19-E19)*100)</f>
        <v/>
      </c>
    </row>
    <row r="20">
      <c r="A20" s="3">
        <f>US_Yields!A14</f>
        <v/>
      </c>
      <c r="B20">
        <f>US_Yields!H14</f>
        <v/>
      </c>
      <c r="C20">
        <f>US_Yields!M14</f>
        <v/>
      </c>
      <c r="D20">
        <f>IFERROR(INDEX(JP_Yields!B$4:B$1000,MATCH($A20,JP_Yields!A$4:A$1000,0)),)</f>
        <v/>
      </c>
      <c r="E20">
        <f>IFERROR(INDEX(JP_Yields!K$4:K$1000,MATCH($A20,JP_Yields!A$4:A$1000,0)),)</f>
        <v/>
      </c>
      <c r="F20">
        <f>IF(OR(D20="",B20=""),"",(B20-D20)*100)</f>
        <v/>
      </c>
      <c r="G20">
        <f>IF(OR(E20="",C20=""),"",(C20-E20)*100)</f>
        <v/>
      </c>
    </row>
    <row r="21">
      <c r="A21" s="3">
        <f>US_Yields!A15</f>
        <v/>
      </c>
      <c r="B21">
        <f>US_Yields!H15</f>
        <v/>
      </c>
      <c r="C21">
        <f>US_Yields!M15</f>
        <v/>
      </c>
      <c r="D21">
        <f>IFERROR(INDEX(JP_Yields!B$4:B$1000,MATCH($A21,JP_Yields!A$4:A$1000,0)),)</f>
        <v/>
      </c>
      <c r="E21">
        <f>IFERROR(INDEX(JP_Yields!K$4:K$1000,MATCH($A21,JP_Yields!A$4:A$1000,0)),)</f>
        <v/>
      </c>
      <c r="F21">
        <f>IF(OR(D21="",B21=""),"",(B21-D21)*100)</f>
        <v/>
      </c>
      <c r="G21">
        <f>IF(OR(E21="",C21=""),"",(C21-E21)*100)</f>
        <v/>
      </c>
    </row>
    <row r="22">
      <c r="A22" s="3">
        <f>US_Yields!A16</f>
        <v/>
      </c>
      <c r="B22">
        <f>US_Yields!H16</f>
        <v/>
      </c>
      <c r="C22">
        <f>US_Yields!M16</f>
        <v/>
      </c>
      <c r="D22">
        <f>IFERROR(INDEX(JP_Yields!B$4:B$1000,MATCH($A22,JP_Yields!A$4:A$1000,0)),)</f>
        <v/>
      </c>
      <c r="E22">
        <f>IFERROR(INDEX(JP_Yields!K$4:K$1000,MATCH($A22,JP_Yields!A$4:A$1000,0)),)</f>
        <v/>
      </c>
      <c r="F22">
        <f>IF(OR(D22="",B22=""),"",(B22-D22)*100)</f>
        <v/>
      </c>
      <c r="G22">
        <f>IF(OR(E22="",C22=""),"",(C22-E22)*100)</f>
        <v/>
      </c>
    </row>
    <row r="23">
      <c r="A23" s="3">
        <f>US_Yields!A17</f>
        <v/>
      </c>
      <c r="B23">
        <f>US_Yields!H17</f>
        <v/>
      </c>
      <c r="C23">
        <f>US_Yields!M17</f>
        <v/>
      </c>
      <c r="D23">
        <f>IFERROR(INDEX(JP_Yields!B$4:B$1000,MATCH($A23,JP_Yields!A$4:A$1000,0)),)</f>
        <v/>
      </c>
      <c r="E23">
        <f>IFERROR(INDEX(JP_Yields!K$4:K$1000,MATCH($A23,JP_Yields!A$4:A$1000,0)),)</f>
        <v/>
      </c>
      <c r="F23">
        <f>IF(OR(D23="",B23=""),"",(B23-D23)*100)</f>
        <v/>
      </c>
      <c r="G23">
        <f>IF(OR(E23="",C23=""),"",(C23-E23)*100)</f>
        <v/>
      </c>
    </row>
    <row r="24">
      <c r="A24" s="3">
        <f>US_Yields!A18</f>
        <v/>
      </c>
      <c r="B24">
        <f>US_Yields!H18</f>
        <v/>
      </c>
      <c r="C24">
        <f>US_Yields!M18</f>
        <v/>
      </c>
      <c r="D24">
        <f>IFERROR(INDEX(JP_Yields!B$4:B$1000,MATCH($A24,JP_Yields!A$4:A$1000,0)),)</f>
        <v/>
      </c>
      <c r="E24">
        <f>IFERROR(INDEX(JP_Yields!K$4:K$1000,MATCH($A24,JP_Yields!A$4:A$1000,0)),)</f>
        <v/>
      </c>
      <c r="F24">
        <f>IF(OR(D24="",B24=""),"",(B24-D24)*100)</f>
        <v/>
      </c>
      <c r="G24">
        <f>IF(OR(E24="",C24=""),"",(C24-E24)*100)</f>
        <v/>
      </c>
    </row>
    <row r="25">
      <c r="A25" s="3">
        <f>US_Yields!A19</f>
        <v/>
      </c>
      <c r="B25">
        <f>US_Yields!H19</f>
        <v/>
      </c>
      <c r="C25">
        <f>US_Yields!M19</f>
        <v/>
      </c>
      <c r="D25">
        <f>IFERROR(INDEX(JP_Yields!B$4:B$1000,MATCH($A25,JP_Yields!A$4:A$1000,0)),)</f>
        <v/>
      </c>
      <c r="E25">
        <f>IFERROR(INDEX(JP_Yields!K$4:K$1000,MATCH($A25,JP_Yields!A$4:A$1000,0)),)</f>
        <v/>
      </c>
      <c r="F25">
        <f>IF(OR(D25="",B25=""),"",(B25-D25)*100)</f>
        <v/>
      </c>
      <c r="G25">
        <f>IF(OR(E25="",C25=""),"",(C25-E25)*100)</f>
        <v/>
      </c>
    </row>
    <row r="26">
      <c r="A26" s="3">
        <f>US_Yields!A20</f>
        <v/>
      </c>
      <c r="B26">
        <f>US_Yields!H20</f>
        <v/>
      </c>
      <c r="C26">
        <f>US_Yields!M20</f>
        <v/>
      </c>
      <c r="D26">
        <f>IFERROR(INDEX(JP_Yields!B$4:B$1000,MATCH($A26,JP_Yields!A$4:A$1000,0)),)</f>
        <v/>
      </c>
      <c r="E26">
        <f>IFERROR(INDEX(JP_Yields!K$4:K$1000,MATCH($A26,JP_Yields!A$4:A$1000,0)),)</f>
        <v/>
      </c>
      <c r="F26">
        <f>IF(OR(D26="",B26=""),"",(B26-D26)*100)</f>
        <v/>
      </c>
      <c r="G26">
        <f>IF(OR(E26="",C26=""),"",(C26-E26)*100)</f>
        <v/>
      </c>
    </row>
    <row r="27">
      <c r="A27" s="3">
        <f>US_Yields!A21</f>
        <v/>
      </c>
      <c r="B27">
        <f>US_Yields!H21</f>
        <v/>
      </c>
      <c r="C27">
        <f>US_Yields!M21</f>
        <v/>
      </c>
      <c r="D27">
        <f>IFERROR(INDEX(JP_Yields!B$4:B$1000,MATCH($A27,JP_Yields!A$4:A$1000,0)),)</f>
        <v/>
      </c>
      <c r="E27">
        <f>IFERROR(INDEX(JP_Yields!K$4:K$1000,MATCH($A27,JP_Yields!A$4:A$1000,0)),)</f>
        <v/>
      </c>
      <c r="F27">
        <f>IF(OR(D27="",B27=""),"",(B27-D27)*100)</f>
        <v/>
      </c>
      <c r="G27">
        <f>IF(OR(E27="",C27=""),"",(C27-E27)*100)</f>
        <v/>
      </c>
    </row>
    <row r="28">
      <c r="A28" s="3">
        <f>US_Yields!A22</f>
        <v/>
      </c>
      <c r="B28">
        <f>US_Yields!H22</f>
        <v/>
      </c>
      <c r="C28">
        <f>US_Yields!M22</f>
        <v/>
      </c>
      <c r="D28">
        <f>IFERROR(INDEX(JP_Yields!B$4:B$1000,MATCH($A28,JP_Yields!A$4:A$1000,0)),)</f>
        <v/>
      </c>
      <c r="E28">
        <f>IFERROR(INDEX(JP_Yields!K$4:K$1000,MATCH($A28,JP_Yields!A$4:A$1000,0)),)</f>
        <v/>
      </c>
      <c r="F28">
        <f>IF(OR(D28="",B28=""),"",(B28-D28)*100)</f>
        <v/>
      </c>
      <c r="G28">
        <f>IF(OR(E28="",C28=""),"",(C28-E28)*100)</f>
        <v/>
      </c>
    </row>
    <row r="29">
      <c r="A29" s="3">
        <f>US_Yields!A23</f>
        <v/>
      </c>
      <c r="B29">
        <f>US_Yields!H23</f>
        <v/>
      </c>
      <c r="C29">
        <f>US_Yields!M23</f>
        <v/>
      </c>
      <c r="D29">
        <f>IFERROR(INDEX(JP_Yields!B$4:B$1000,MATCH($A29,JP_Yields!A$4:A$1000,0)),)</f>
        <v/>
      </c>
      <c r="E29">
        <f>IFERROR(INDEX(JP_Yields!K$4:K$1000,MATCH($A29,JP_Yields!A$4:A$1000,0)),)</f>
        <v/>
      </c>
      <c r="F29">
        <f>IF(OR(D29="",B29=""),"",(B29-D29)*100)</f>
        <v/>
      </c>
      <c r="G29">
        <f>IF(OR(E29="",C29=""),"",(C29-E29)*100)</f>
        <v/>
      </c>
    </row>
    <row r="30">
      <c r="A30" s="3">
        <f>US_Yields!A24</f>
        <v/>
      </c>
      <c r="B30">
        <f>US_Yields!H24</f>
        <v/>
      </c>
      <c r="C30">
        <f>US_Yields!M24</f>
        <v/>
      </c>
      <c r="D30">
        <f>IFERROR(INDEX(JP_Yields!B$4:B$1000,MATCH($A30,JP_Yields!A$4:A$1000,0)),)</f>
        <v/>
      </c>
      <c r="E30">
        <f>IFERROR(INDEX(JP_Yields!K$4:K$1000,MATCH($A30,JP_Yields!A$4:A$1000,0)),)</f>
        <v/>
      </c>
      <c r="F30">
        <f>IF(OR(D30="",B30=""),"",(B30-D30)*100)</f>
        <v/>
      </c>
      <c r="G30">
        <f>IF(OR(E30="",C30=""),"",(C30-E30)*100)</f>
        <v/>
      </c>
    </row>
    <row r="31">
      <c r="A31" s="3">
        <f>US_Yields!A25</f>
        <v/>
      </c>
      <c r="B31">
        <f>US_Yields!H25</f>
        <v/>
      </c>
      <c r="C31">
        <f>US_Yields!M25</f>
        <v/>
      </c>
      <c r="D31">
        <f>IFERROR(INDEX(JP_Yields!B$4:B$1000,MATCH($A31,JP_Yields!A$4:A$1000,0)),)</f>
        <v/>
      </c>
      <c r="E31">
        <f>IFERROR(INDEX(JP_Yields!K$4:K$1000,MATCH($A31,JP_Yields!A$4:A$1000,0)),)</f>
        <v/>
      </c>
      <c r="F31">
        <f>IF(OR(D31="",B31=""),"",(B31-D31)*100)</f>
        <v/>
      </c>
      <c r="G31">
        <f>IF(OR(E31="",C31=""),"",(C31-E31)*100)</f>
        <v/>
      </c>
    </row>
    <row r="32">
      <c r="A32" s="3">
        <f>US_Yields!A26</f>
        <v/>
      </c>
      <c r="B32">
        <f>US_Yields!H26</f>
        <v/>
      </c>
      <c r="C32">
        <f>US_Yields!M26</f>
        <v/>
      </c>
      <c r="D32">
        <f>IFERROR(INDEX(JP_Yields!B$4:B$1000,MATCH($A32,JP_Yields!A$4:A$1000,0)),)</f>
        <v/>
      </c>
      <c r="E32">
        <f>IFERROR(INDEX(JP_Yields!K$4:K$1000,MATCH($A32,JP_Yields!A$4:A$1000,0)),)</f>
        <v/>
      </c>
      <c r="F32">
        <f>IF(OR(D32="",B32=""),"",(B32-D32)*100)</f>
        <v/>
      </c>
      <c r="G32">
        <f>IF(OR(E32="",C32=""),"",(C32-E32)*100)</f>
        <v/>
      </c>
    </row>
    <row r="33">
      <c r="A33" s="3">
        <f>US_Yields!A27</f>
        <v/>
      </c>
      <c r="B33">
        <f>US_Yields!H27</f>
        <v/>
      </c>
      <c r="C33">
        <f>US_Yields!M27</f>
        <v/>
      </c>
      <c r="D33">
        <f>IFERROR(INDEX(JP_Yields!B$4:B$1000,MATCH($A33,JP_Yields!A$4:A$1000,0)),)</f>
        <v/>
      </c>
      <c r="E33">
        <f>IFERROR(INDEX(JP_Yields!K$4:K$1000,MATCH($A33,JP_Yields!A$4:A$1000,0)),)</f>
        <v/>
      </c>
      <c r="F33">
        <f>IF(OR(D33="",B33=""),"",(B33-D33)*100)</f>
        <v/>
      </c>
      <c r="G33">
        <f>IF(OR(E33="",C33=""),"",(C33-E33)*100)</f>
        <v/>
      </c>
    </row>
    <row r="34">
      <c r="A34" s="3">
        <f>US_Yields!A28</f>
        <v/>
      </c>
      <c r="B34">
        <f>US_Yields!H28</f>
        <v/>
      </c>
      <c r="C34">
        <f>US_Yields!M28</f>
        <v/>
      </c>
      <c r="D34">
        <f>IFERROR(INDEX(JP_Yields!B$4:B$1000,MATCH($A34,JP_Yields!A$4:A$1000,0)),)</f>
        <v/>
      </c>
      <c r="E34">
        <f>IFERROR(INDEX(JP_Yields!K$4:K$1000,MATCH($A34,JP_Yields!A$4:A$1000,0)),)</f>
        <v/>
      </c>
      <c r="F34">
        <f>IF(OR(D34="",B34=""),"",(B34-D34)*100)</f>
        <v/>
      </c>
      <c r="G34">
        <f>IF(OR(E34="",C34=""),"",(C34-E34)*100)</f>
        <v/>
      </c>
    </row>
    <row r="35">
      <c r="A35" s="3">
        <f>US_Yields!A29</f>
        <v/>
      </c>
      <c r="B35">
        <f>US_Yields!H29</f>
        <v/>
      </c>
      <c r="C35">
        <f>US_Yields!M29</f>
        <v/>
      </c>
      <c r="D35">
        <f>IFERROR(INDEX(JP_Yields!B$4:B$1000,MATCH($A35,JP_Yields!A$4:A$1000,0)),)</f>
        <v/>
      </c>
      <c r="E35">
        <f>IFERROR(INDEX(JP_Yields!K$4:K$1000,MATCH($A35,JP_Yields!A$4:A$1000,0)),)</f>
        <v/>
      </c>
      <c r="F35">
        <f>IF(OR(D35="",B35=""),"",(B35-D35)*100)</f>
        <v/>
      </c>
      <c r="G35">
        <f>IF(OR(E35="",C35=""),"",(C35-E35)*100)</f>
        <v/>
      </c>
    </row>
    <row r="36">
      <c r="A36" s="3">
        <f>US_Yields!A30</f>
        <v/>
      </c>
      <c r="B36">
        <f>US_Yields!H30</f>
        <v/>
      </c>
      <c r="C36">
        <f>US_Yields!M30</f>
        <v/>
      </c>
      <c r="D36">
        <f>IFERROR(INDEX(JP_Yields!B$4:B$1000,MATCH($A36,JP_Yields!A$4:A$1000,0)),)</f>
        <v/>
      </c>
      <c r="E36">
        <f>IFERROR(INDEX(JP_Yields!K$4:K$1000,MATCH($A36,JP_Yields!A$4:A$1000,0)),)</f>
        <v/>
      </c>
      <c r="F36">
        <f>IF(OR(D36="",B36=""),"",(B36-D36)*100)</f>
        <v/>
      </c>
      <c r="G36">
        <f>IF(OR(E36="",C36=""),"",(C36-E36)*100)</f>
        <v/>
      </c>
    </row>
    <row r="37">
      <c r="A37" s="3">
        <f>US_Yields!A31</f>
        <v/>
      </c>
      <c r="B37">
        <f>US_Yields!H31</f>
        <v/>
      </c>
      <c r="C37">
        <f>US_Yields!M31</f>
        <v/>
      </c>
      <c r="D37">
        <f>IFERROR(INDEX(JP_Yields!B$4:B$1000,MATCH($A37,JP_Yields!A$4:A$1000,0)),)</f>
        <v/>
      </c>
      <c r="E37">
        <f>IFERROR(INDEX(JP_Yields!K$4:K$1000,MATCH($A37,JP_Yields!A$4:A$1000,0)),)</f>
        <v/>
      </c>
      <c r="F37">
        <f>IF(OR(D37="",B37=""),"",(B37-D37)*100)</f>
        <v/>
      </c>
      <c r="G37">
        <f>IF(OR(E37="",C37=""),"",(C37-E37)*100)</f>
        <v/>
      </c>
    </row>
    <row r="38">
      <c r="A38" s="3">
        <f>US_Yields!A32</f>
        <v/>
      </c>
      <c r="B38">
        <f>US_Yields!H32</f>
        <v/>
      </c>
      <c r="C38">
        <f>US_Yields!M32</f>
        <v/>
      </c>
      <c r="D38">
        <f>IFERROR(INDEX(JP_Yields!B$4:B$1000,MATCH($A38,JP_Yields!A$4:A$1000,0)),)</f>
        <v/>
      </c>
      <c r="E38">
        <f>IFERROR(INDEX(JP_Yields!K$4:K$1000,MATCH($A38,JP_Yields!A$4:A$1000,0)),)</f>
        <v/>
      </c>
      <c r="F38">
        <f>IF(OR(D38="",B38=""),"",(B38-D38)*100)</f>
        <v/>
      </c>
      <c r="G38">
        <f>IF(OR(E38="",C38=""),"",(C38-E38)*100)</f>
        <v/>
      </c>
    </row>
    <row r="39">
      <c r="A39" s="3">
        <f>US_Yields!A33</f>
        <v/>
      </c>
      <c r="B39">
        <f>US_Yields!H33</f>
        <v/>
      </c>
      <c r="C39">
        <f>US_Yields!M33</f>
        <v/>
      </c>
      <c r="D39">
        <f>IFERROR(INDEX(JP_Yields!B$4:B$1000,MATCH($A39,JP_Yields!A$4:A$1000,0)),)</f>
        <v/>
      </c>
      <c r="E39">
        <f>IFERROR(INDEX(JP_Yields!K$4:K$1000,MATCH($A39,JP_Yields!A$4:A$1000,0)),)</f>
        <v/>
      </c>
      <c r="F39">
        <f>IF(OR(D39="",B39=""),"",(B39-D39)*100)</f>
        <v/>
      </c>
      <c r="G39">
        <f>IF(OR(E39="",C39=""),"",(C39-E39)*100)</f>
        <v/>
      </c>
    </row>
    <row r="40">
      <c r="A40" s="3">
        <f>US_Yields!A34</f>
        <v/>
      </c>
      <c r="B40">
        <f>US_Yields!H34</f>
        <v/>
      </c>
      <c r="C40">
        <f>US_Yields!M34</f>
        <v/>
      </c>
      <c r="D40">
        <f>IFERROR(INDEX(JP_Yields!B$4:B$1000,MATCH($A40,JP_Yields!A$4:A$1000,0)),)</f>
        <v/>
      </c>
      <c r="E40">
        <f>IFERROR(INDEX(JP_Yields!K$4:K$1000,MATCH($A40,JP_Yields!A$4:A$1000,0)),)</f>
        <v/>
      </c>
      <c r="F40">
        <f>IF(OR(D40="",B40=""),"",(B40-D40)*100)</f>
        <v/>
      </c>
      <c r="G40">
        <f>IF(OR(E40="",C40=""),"",(C40-E40)*100)</f>
        <v/>
      </c>
    </row>
    <row r="41">
      <c r="A41" s="3">
        <f>US_Yields!A35</f>
        <v/>
      </c>
      <c r="B41">
        <f>US_Yields!H35</f>
        <v/>
      </c>
      <c r="C41">
        <f>US_Yields!M35</f>
        <v/>
      </c>
      <c r="D41">
        <f>IFERROR(INDEX(JP_Yields!B$4:B$1000,MATCH($A41,JP_Yields!A$4:A$1000,0)),)</f>
        <v/>
      </c>
      <c r="E41">
        <f>IFERROR(INDEX(JP_Yields!K$4:K$1000,MATCH($A41,JP_Yields!A$4:A$1000,0)),)</f>
        <v/>
      </c>
      <c r="F41">
        <f>IF(OR(D41="",B41=""),"",(B41-D41)*100)</f>
        <v/>
      </c>
      <c r="G41">
        <f>IF(OR(E41="",C41=""),"",(C41-E41)*100)</f>
        <v/>
      </c>
    </row>
    <row r="42">
      <c r="A42" s="3">
        <f>US_Yields!A36</f>
        <v/>
      </c>
      <c r="B42">
        <f>US_Yields!H36</f>
        <v/>
      </c>
      <c r="C42">
        <f>US_Yields!M36</f>
        <v/>
      </c>
      <c r="D42">
        <f>IFERROR(INDEX(JP_Yields!B$4:B$1000,MATCH($A42,JP_Yields!A$4:A$1000,0)),)</f>
        <v/>
      </c>
      <c r="E42">
        <f>IFERROR(INDEX(JP_Yields!K$4:K$1000,MATCH($A42,JP_Yields!A$4:A$1000,0)),)</f>
        <v/>
      </c>
      <c r="F42">
        <f>IF(OR(D42="",B42=""),"",(B42-D42)*100)</f>
        <v/>
      </c>
      <c r="G42">
        <f>IF(OR(E42="",C42=""),"",(C42-E42)*100)</f>
        <v/>
      </c>
    </row>
    <row r="43">
      <c r="A43" s="3">
        <f>US_Yields!A37</f>
        <v/>
      </c>
      <c r="B43">
        <f>US_Yields!H37</f>
        <v/>
      </c>
      <c r="C43">
        <f>US_Yields!M37</f>
        <v/>
      </c>
      <c r="D43">
        <f>IFERROR(INDEX(JP_Yields!B$4:B$1000,MATCH($A43,JP_Yields!A$4:A$1000,0)),)</f>
        <v/>
      </c>
      <c r="E43">
        <f>IFERROR(INDEX(JP_Yields!K$4:K$1000,MATCH($A43,JP_Yields!A$4:A$1000,0)),)</f>
        <v/>
      </c>
      <c r="F43">
        <f>IF(OR(D43="",B43=""),"",(B43-D43)*100)</f>
        <v/>
      </c>
      <c r="G43">
        <f>IF(OR(E43="",C43=""),"",(C43-E43)*100)</f>
        <v/>
      </c>
    </row>
    <row r="44">
      <c r="A44" s="3">
        <f>US_Yields!A38</f>
        <v/>
      </c>
      <c r="B44">
        <f>US_Yields!H38</f>
        <v/>
      </c>
      <c r="C44">
        <f>US_Yields!M38</f>
        <v/>
      </c>
      <c r="D44">
        <f>IFERROR(INDEX(JP_Yields!B$4:B$1000,MATCH($A44,JP_Yields!A$4:A$1000,0)),)</f>
        <v/>
      </c>
      <c r="E44">
        <f>IFERROR(INDEX(JP_Yields!K$4:K$1000,MATCH($A44,JP_Yields!A$4:A$1000,0)),)</f>
        <v/>
      </c>
      <c r="F44">
        <f>IF(OR(D44="",B44=""),"",(B44-D44)*100)</f>
        <v/>
      </c>
      <c r="G44">
        <f>IF(OR(E44="",C44=""),"",(C44-E44)*100)</f>
        <v/>
      </c>
    </row>
    <row r="45">
      <c r="A45" s="3">
        <f>US_Yields!A39</f>
        <v/>
      </c>
      <c r="B45">
        <f>US_Yields!H39</f>
        <v/>
      </c>
      <c r="C45">
        <f>US_Yields!M39</f>
        <v/>
      </c>
      <c r="D45">
        <f>IFERROR(INDEX(JP_Yields!B$4:B$1000,MATCH($A45,JP_Yields!A$4:A$1000,0)),)</f>
        <v/>
      </c>
      <c r="E45">
        <f>IFERROR(INDEX(JP_Yields!K$4:K$1000,MATCH($A45,JP_Yields!A$4:A$1000,0)),)</f>
        <v/>
      </c>
      <c r="F45">
        <f>IF(OR(D45="",B45=""),"",(B45-D45)*100)</f>
        <v/>
      </c>
      <c r="G45">
        <f>IF(OR(E45="",C45=""),"",(C45-E45)*100)</f>
        <v/>
      </c>
    </row>
    <row r="46">
      <c r="A46" s="3">
        <f>US_Yields!A40</f>
        <v/>
      </c>
      <c r="B46">
        <f>US_Yields!H40</f>
        <v/>
      </c>
      <c r="C46">
        <f>US_Yields!M40</f>
        <v/>
      </c>
      <c r="D46">
        <f>IFERROR(INDEX(JP_Yields!B$4:B$1000,MATCH($A46,JP_Yields!A$4:A$1000,0)),)</f>
        <v/>
      </c>
      <c r="E46">
        <f>IFERROR(INDEX(JP_Yields!K$4:K$1000,MATCH($A46,JP_Yields!A$4:A$1000,0)),)</f>
        <v/>
      </c>
      <c r="F46">
        <f>IF(OR(D46="",B46=""),"",(B46-D46)*100)</f>
        <v/>
      </c>
      <c r="G46">
        <f>IF(OR(E46="",C46=""),"",(C46-E46)*100)</f>
        <v/>
      </c>
    </row>
    <row r="47">
      <c r="A47" s="3">
        <f>US_Yields!A41</f>
        <v/>
      </c>
      <c r="B47">
        <f>US_Yields!H41</f>
        <v/>
      </c>
      <c r="C47">
        <f>US_Yields!M41</f>
        <v/>
      </c>
      <c r="D47">
        <f>IFERROR(INDEX(JP_Yields!B$4:B$1000,MATCH($A47,JP_Yields!A$4:A$1000,0)),)</f>
        <v/>
      </c>
      <c r="E47">
        <f>IFERROR(INDEX(JP_Yields!K$4:K$1000,MATCH($A47,JP_Yields!A$4:A$1000,0)),)</f>
        <v/>
      </c>
      <c r="F47">
        <f>IF(OR(D47="",B47=""),"",(B47-D47)*100)</f>
        <v/>
      </c>
      <c r="G47">
        <f>IF(OR(E47="",C47=""),"",(C47-E47)*100)</f>
        <v/>
      </c>
    </row>
    <row r="48">
      <c r="A48" s="3">
        <f>US_Yields!A42</f>
        <v/>
      </c>
      <c r="B48">
        <f>US_Yields!H42</f>
        <v/>
      </c>
      <c r="C48">
        <f>US_Yields!M42</f>
        <v/>
      </c>
      <c r="D48">
        <f>IFERROR(INDEX(JP_Yields!B$4:B$1000,MATCH($A48,JP_Yields!A$4:A$1000,0)),)</f>
        <v/>
      </c>
      <c r="E48">
        <f>IFERROR(INDEX(JP_Yields!K$4:K$1000,MATCH($A48,JP_Yields!A$4:A$1000,0)),)</f>
        <v/>
      </c>
      <c r="F48">
        <f>IF(OR(D48="",B48=""),"",(B48-D48)*100)</f>
        <v/>
      </c>
      <c r="G48">
        <f>IF(OR(E48="",C48=""),"",(C48-E48)*100)</f>
        <v/>
      </c>
    </row>
    <row r="49">
      <c r="A49" s="3">
        <f>US_Yields!A43</f>
        <v/>
      </c>
      <c r="B49">
        <f>US_Yields!H43</f>
        <v/>
      </c>
      <c r="C49">
        <f>US_Yields!M43</f>
        <v/>
      </c>
      <c r="D49">
        <f>IFERROR(INDEX(JP_Yields!B$4:B$1000,MATCH($A49,JP_Yields!A$4:A$1000,0)),)</f>
        <v/>
      </c>
      <c r="E49">
        <f>IFERROR(INDEX(JP_Yields!K$4:K$1000,MATCH($A49,JP_Yields!A$4:A$1000,0)),)</f>
        <v/>
      </c>
      <c r="F49">
        <f>IF(OR(D49="",B49=""),"",(B49-D49)*100)</f>
        <v/>
      </c>
      <c r="G49">
        <f>IF(OR(E49="",C49=""),"",(C49-E49)*100)</f>
        <v/>
      </c>
    </row>
    <row r="50">
      <c r="A50" s="3">
        <f>US_Yields!A44</f>
        <v/>
      </c>
      <c r="B50">
        <f>US_Yields!H44</f>
        <v/>
      </c>
      <c r="C50">
        <f>US_Yields!M44</f>
        <v/>
      </c>
      <c r="D50">
        <f>IFERROR(INDEX(JP_Yields!B$4:B$1000,MATCH($A50,JP_Yields!A$4:A$1000,0)),)</f>
        <v/>
      </c>
      <c r="E50">
        <f>IFERROR(INDEX(JP_Yields!K$4:K$1000,MATCH($A50,JP_Yields!A$4:A$1000,0)),)</f>
        <v/>
      </c>
      <c r="F50">
        <f>IF(OR(D50="",B50=""),"",(B50-D50)*100)</f>
        <v/>
      </c>
      <c r="G50">
        <f>IF(OR(E50="",C50=""),"",(C50-E50)*100)</f>
        <v/>
      </c>
    </row>
    <row r="51">
      <c r="A51" s="3">
        <f>US_Yields!A45</f>
        <v/>
      </c>
      <c r="B51">
        <f>US_Yields!H45</f>
        <v/>
      </c>
      <c r="C51">
        <f>US_Yields!M45</f>
        <v/>
      </c>
      <c r="D51">
        <f>IFERROR(INDEX(JP_Yields!B$4:B$1000,MATCH($A51,JP_Yields!A$4:A$1000,0)),)</f>
        <v/>
      </c>
      <c r="E51">
        <f>IFERROR(INDEX(JP_Yields!K$4:K$1000,MATCH($A51,JP_Yields!A$4:A$1000,0)),)</f>
        <v/>
      </c>
      <c r="F51">
        <f>IF(OR(D51="",B51=""),"",(B51-D51)*100)</f>
        <v/>
      </c>
      <c r="G51">
        <f>IF(OR(E51="",C51=""),"",(C51-E51)*100)</f>
        <v/>
      </c>
    </row>
    <row r="52">
      <c r="A52" s="3">
        <f>US_Yields!A46</f>
        <v/>
      </c>
      <c r="B52">
        <f>US_Yields!H46</f>
        <v/>
      </c>
      <c r="C52">
        <f>US_Yields!M46</f>
        <v/>
      </c>
      <c r="D52">
        <f>IFERROR(INDEX(JP_Yields!B$4:B$1000,MATCH($A52,JP_Yields!A$4:A$1000,0)),)</f>
        <v/>
      </c>
      <c r="E52">
        <f>IFERROR(INDEX(JP_Yields!K$4:K$1000,MATCH($A52,JP_Yields!A$4:A$1000,0)),)</f>
        <v/>
      </c>
      <c r="F52">
        <f>IF(OR(D52="",B52=""),"",(B52-D52)*100)</f>
        <v/>
      </c>
      <c r="G52">
        <f>IF(OR(E52="",C52=""),"",(C52-E52)*100)</f>
        <v/>
      </c>
    </row>
    <row r="53">
      <c r="A53" s="3">
        <f>US_Yields!A47</f>
        <v/>
      </c>
      <c r="B53">
        <f>US_Yields!H47</f>
        <v/>
      </c>
      <c r="C53">
        <f>US_Yields!M47</f>
        <v/>
      </c>
      <c r="D53">
        <f>IFERROR(INDEX(JP_Yields!B$4:B$1000,MATCH($A53,JP_Yields!A$4:A$1000,0)),)</f>
        <v/>
      </c>
      <c r="E53">
        <f>IFERROR(INDEX(JP_Yields!K$4:K$1000,MATCH($A53,JP_Yields!A$4:A$1000,0)),)</f>
        <v/>
      </c>
      <c r="F53">
        <f>IF(OR(D53="",B53=""),"",(B53-D53)*100)</f>
        <v/>
      </c>
      <c r="G53">
        <f>IF(OR(E53="",C53=""),"",(C53-E53)*100)</f>
        <v/>
      </c>
    </row>
    <row r="54">
      <c r="A54" s="3">
        <f>US_Yields!A48</f>
        <v/>
      </c>
      <c r="B54">
        <f>US_Yields!H48</f>
        <v/>
      </c>
      <c r="C54">
        <f>US_Yields!M48</f>
        <v/>
      </c>
      <c r="D54">
        <f>IFERROR(INDEX(JP_Yields!B$4:B$1000,MATCH($A54,JP_Yields!A$4:A$1000,0)),)</f>
        <v/>
      </c>
      <c r="E54">
        <f>IFERROR(INDEX(JP_Yields!K$4:K$1000,MATCH($A54,JP_Yields!A$4:A$1000,0)),)</f>
        <v/>
      </c>
      <c r="F54">
        <f>IF(OR(D54="",B54=""),"",(B54-D54)*100)</f>
        <v/>
      </c>
      <c r="G54">
        <f>IF(OR(E54="",C54=""),"",(C54-E54)*100)</f>
        <v/>
      </c>
    </row>
    <row r="55">
      <c r="A55" s="3">
        <f>US_Yields!A49</f>
        <v/>
      </c>
      <c r="B55">
        <f>US_Yields!H49</f>
        <v/>
      </c>
      <c r="C55">
        <f>US_Yields!M49</f>
        <v/>
      </c>
      <c r="D55">
        <f>IFERROR(INDEX(JP_Yields!B$4:B$1000,MATCH($A55,JP_Yields!A$4:A$1000,0)),)</f>
        <v/>
      </c>
      <c r="E55">
        <f>IFERROR(INDEX(JP_Yields!K$4:K$1000,MATCH($A55,JP_Yields!A$4:A$1000,0)),)</f>
        <v/>
      </c>
      <c r="F55">
        <f>IF(OR(D55="",B55=""),"",(B55-D55)*100)</f>
        <v/>
      </c>
      <c r="G55">
        <f>IF(OR(E55="",C55=""),"",(C55-E55)*100)</f>
        <v/>
      </c>
    </row>
    <row r="56">
      <c r="A56" s="3">
        <f>US_Yields!A50</f>
        <v/>
      </c>
      <c r="B56">
        <f>US_Yields!H50</f>
        <v/>
      </c>
      <c r="C56">
        <f>US_Yields!M50</f>
        <v/>
      </c>
      <c r="D56">
        <f>IFERROR(INDEX(JP_Yields!B$4:B$1000,MATCH($A56,JP_Yields!A$4:A$1000,0)),)</f>
        <v/>
      </c>
      <c r="E56">
        <f>IFERROR(INDEX(JP_Yields!K$4:K$1000,MATCH($A56,JP_Yields!A$4:A$1000,0)),)</f>
        <v/>
      </c>
      <c r="F56">
        <f>IF(OR(D56="",B56=""),"",(B56-D56)*100)</f>
        <v/>
      </c>
      <c r="G56">
        <f>IF(OR(E56="",C56=""),"",(C56-E56)*100)</f>
        <v/>
      </c>
    </row>
    <row r="57">
      <c r="A57" s="3">
        <f>US_Yields!A51</f>
        <v/>
      </c>
      <c r="B57">
        <f>US_Yields!H51</f>
        <v/>
      </c>
      <c r="C57">
        <f>US_Yields!M51</f>
        <v/>
      </c>
      <c r="D57">
        <f>IFERROR(INDEX(JP_Yields!B$4:B$1000,MATCH($A57,JP_Yields!A$4:A$1000,0)),)</f>
        <v/>
      </c>
      <c r="E57">
        <f>IFERROR(INDEX(JP_Yields!K$4:K$1000,MATCH($A57,JP_Yields!A$4:A$1000,0)),)</f>
        <v/>
      </c>
      <c r="F57">
        <f>IF(OR(D57="",B57=""),"",(B57-D57)*100)</f>
        <v/>
      </c>
      <c r="G57">
        <f>IF(OR(E57="",C57=""),"",(C57-E57)*100)</f>
        <v/>
      </c>
    </row>
    <row r="58">
      <c r="A58" s="3">
        <f>US_Yields!A52</f>
        <v/>
      </c>
      <c r="B58">
        <f>US_Yields!H52</f>
        <v/>
      </c>
      <c r="C58">
        <f>US_Yields!M52</f>
        <v/>
      </c>
      <c r="D58">
        <f>IFERROR(INDEX(JP_Yields!B$4:B$1000,MATCH($A58,JP_Yields!A$4:A$1000,0)),)</f>
        <v/>
      </c>
      <c r="E58">
        <f>IFERROR(INDEX(JP_Yields!K$4:K$1000,MATCH($A58,JP_Yields!A$4:A$1000,0)),)</f>
        <v/>
      </c>
      <c r="F58">
        <f>IF(OR(D58="",B58=""),"",(B58-D58)*100)</f>
        <v/>
      </c>
      <c r="G58">
        <f>IF(OR(E58="",C58=""),"",(C58-E58)*100)</f>
        <v/>
      </c>
    </row>
    <row r="59">
      <c r="A59" s="3">
        <f>US_Yields!A53</f>
        <v/>
      </c>
      <c r="B59">
        <f>US_Yields!H53</f>
        <v/>
      </c>
      <c r="C59">
        <f>US_Yields!M53</f>
        <v/>
      </c>
      <c r="D59">
        <f>IFERROR(INDEX(JP_Yields!B$4:B$1000,MATCH($A59,JP_Yields!A$4:A$1000,0)),)</f>
        <v/>
      </c>
      <c r="E59">
        <f>IFERROR(INDEX(JP_Yields!K$4:K$1000,MATCH($A59,JP_Yields!A$4:A$1000,0)),)</f>
        <v/>
      </c>
      <c r="F59">
        <f>IF(OR(D59="",B59=""),"",(B59-D59)*100)</f>
        <v/>
      </c>
      <c r="G59">
        <f>IF(OR(E59="",C59=""),"",(C59-E59)*100)</f>
        <v/>
      </c>
    </row>
    <row r="60">
      <c r="A60" s="3">
        <f>US_Yields!A54</f>
        <v/>
      </c>
      <c r="B60">
        <f>US_Yields!H54</f>
        <v/>
      </c>
      <c r="C60">
        <f>US_Yields!M54</f>
        <v/>
      </c>
      <c r="D60">
        <f>IFERROR(INDEX(JP_Yields!B$4:B$1000,MATCH($A60,JP_Yields!A$4:A$1000,0)),)</f>
        <v/>
      </c>
      <c r="E60">
        <f>IFERROR(INDEX(JP_Yields!K$4:K$1000,MATCH($A60,JP_Yields!A$4:A$1000,0)),)</f>
        <v/>
      </c>
      <c r="F60">
        <f>IF(OR(D60="",B60=""),"",(B60-D60)*100)</f>
        <v/>
      </c>
      <c r="G60">
        <f>IF(OR(E60="",C60=""),"",(C60-E60)*100)</f>
        <v/>
      </c>
    </row>
    <row r="61">
      <c r="A61" s="3">
        <f>US_Yields!A55</f>
        <v/>
      </c>
      <c r="B61">
        <f>US_Yields!H55</f>
        <v/>
      </c>
      <c r="C61">
        <f>US_Yields!M55</f>
        <v/>
      </c>
      <c r="D61">
        <f>IFERROR(INDEX(JP_Yields!B$4:B$1000,MATCH($A61,JP_Yields!A$4:A$1000,0)),)</f>
        <v/>
      </c>
      <c r="E61">
        <f>IFERROR(INDEX(JP_Yields!K$4:K$1000,MATCH($A61,JP_Yields!A$4:A$1000,0)),)</f>
        <v/>
      </c>
      <c r="F61">
        <f>IF(OR(D61="",B61=""),"",(B61-D61)*100)</f>
        <v/>
      </c>
      <c r="G61">
        <f>IF(OR(E61="",C61=""),"",(C61-E61)*100)</f>
        <v/>
      </c>
    </row>
    <row r="62">
      <c r="A62" s="3">
        <f>US_Yields!A56</f>
        <v/>
      </c>
      <c r="B62">
        <f>US_Yields!H56</f>
        <v/>
      </c>
      <c r="C62">
        <f>US_Yields!M56</f>
        <v/>
      </c>
      <c r="D62">
        <f>IFERROR(INDEX(JP_Yields!B$4:B$1000,MATCH($A62,JP_Yields!A$4:A$1000,0)),)</f>
        <v/>
      </c>
      <c r="E62">
        <f>IFERROR(INDEX(JP_Yields!K$4:K$1000,MATCH($A62,JP_Yields!A$4:A$1000,0)),)</f>
        <v/>
      </c>
      <c r="F62">
        <f>IF(OR(D62="",B62=""),"",(B62-D62)*100)</f>
        <v/>
      </c>
      <c r="G62">
        <f>IF(OR(E62="",C62=""),"",(C62-E62)*100)</f>
        <v/>
      </c>
    </row>
    <row r="63">
      <c r="A63" s="3">
        <f>US_Yields!A57</f>
        <v/>
      </c>
      <c r="B63">
        <f>US_Yields!H57</f>
        <v/>
      </c>
      <c r="C63">
        <f>US_Yields!M57</f>
        <v/>
      </c>
      <c r="D63">
        <f>IFERROR(INDEX(JP_Yields!B$4:B$1000,MATCH($A63,JP_Yields!A$4:A$1000,0)),)</f>
        <v/>
      </c>
      <c r="E63">
        <f>IFERROR(INDEX(JP_Yields!K$4:K$1000,MATCH($A63,JP_Yields!A$4:A$1000,0)),)</f>
        <v/>
      </c>
      <c r="F63">
        <f>IF(OR(D63="",B63=""),"",(B63-D63)*100)</f>
        <v/>
      </c>
      <c r="G63">
        <f>IF(OR(E63="",C63=""),"",(C63-E63)*100)</f>
        <v/>
      </c>
    </row>
    <row r="64">
      <c r="A64" s="3">
        <f>US_Yields!A58</f>
        <v/>
      </c>
      <c r="B64">
        <f>US_Yields!H58</f>
        <v/>
      </c>
      <c r="C64">
        <f>US_Yields!M58</f>
        <v/>
      </c>
      <c r="D64">
        <f>IFERROR(INDEX(JP_Yields!B$4:B$1000,MATCH($A64,JP_Yields!A$4:A$1000,0)),)</f>
        <v/>
      </c>
      <c r="E64">
        <f>IFERROR(INDEX(JP_Yields!K$4:K$1000,MATCH($A64,JP_Yields!A$4:A$1000,0)),)</f>
        <v/>
      </c>
      <c r="F64">
        <f>IF(OR(D64="",B64=""),"",(B64-D64)*100)</f>
        <v/>
      </c>
      <c r="G64">
        <f>IF(OR(E64="",C64=""),"",(C64-E64)*100)</f>
        <v/>
      </c>
    </row>
    <row r="65">
      <c r="A65" s="3">
        <f>US_Yields!A59</f>
        <v/>
      </c>
      <c r="B65">
        <f>US_Yields!H59</f>
        <v/>
      </c>
      <c r="C65">
        <f>US_Yields!M59</f>
        <v/>
      </c>
      <c r="D65">
        <f>IFERROR(INDEX(JP_Yields!B$4:B$1000,MATCH($A65,JP_Yields!A$4:A$1000,0)),)</f>
        <v/>
      </c>
      <c r="E65">
        <f>IFERROR(INDEX(JP_Yields!K$4:K$1000,MATCH($A65,JP_Yields!A$4:A$1000,0)),)</f>
        <v/>
      </c>
      <c r="F65">
        <f>IF(OR(D65="",B65=""),"",(B65-D65)*100)</f>
        <v/>
      </c>
      <c r="G65">
        <f>IF(OR(E65="",C65=""),"",(C65-E65)*100)</f>
        <v/>
      </c>
    </row>
    <row r="66">
      <c r="A66" s="3">
        <f>US_Yields!A60</f>
        <v/>
      </c>
      <c r="B66">
        <f>US_Yields!H60</f>
        <v/>
      </c>
      <c r="C66">
        <f>US_Yields!M60</f>
        <v/>
      </c>
      <c r="D66">
        <f>IFERROR(INDEX(JP_Yields!B$4:B$1000,MATCH($A66,JP_Yields!A$4:A$1000,0)),)</f>
        <v/>
      </c>
      <c r="E66">
        <f>IFERROR(INDEX(JP_Yields!K$4:K$1000,MATCH($A66,JP_Yields!A$4:A$1000,0)),)</f>
        <v/>
      </c>
      <c r="F66">
        <f>IF(OR(D66="",B66=""),"",(B66-D66)*100)</f>
        <v/>
      </c>
      <c r="G66">
        <f>IF(OR(E66="",C66=""),"",(C66-E66)*100)</f>
        <v/>
      </c>
    </row>
    <row r="67">
      <c r="A67" s="3">
        <f>US_Yields!A61</f>
        <v/>
      </c>
      <c r="B67">
        <f>US_Yields!H61</f>
        <v/>
      </c>
      <c r="C67">
        <f>US_Yields!M61</f>
        <v/>
      </c>
      <c r="D67">
        <f>IFERROR(INDEX(JP_Yields!B$4:B$1000,MATCH($A67,JP_Yields!A$4:A$1000,0)),)</f>
        <v/>
      </c>
      <c r="E67">
        <f>IFERROR(INDEX(JP_Yields!K$4:K$1000,MATCH($A67,JP_Yields!A$4:A$1000,0)),)</f>
        <v/>
      </c>
      <c r="F67">
        <f>IF(OR(D67="",B67=""),"",(B67-D67)*100)</f>
        <v/>
      </c>
      <c r="G67">
        <f>IF(OR(E67="",C67=""),"",(C67-E67)*100)</f>
        <v/>
      </c>
    </row>
    <row r="68">
      <c r="A68" s="3">
        <f>US_Yields!A62</f>
        <v/>
      </c>
      <c r="B68">
        <f>US_Yields!H62</f>
        <v/>
      </c>
      <c r="C68">
        <f>US_Yields!M62</f>
        <v/>
      </c>
      <c r="D68">
        <f>IFERROR(INDEX(JP_Yields!B$4:B$1000,MATCH($A68,JP_Yields!A$4:A$1000,0)),)</f>
        <v/>
      </c>
      <c r="E68">
        <f>IFERROR(INDEX(JP_Yields!K$4:K$1000,MATCH($A68,JP_Yields!A$4:A$1000,0)),)</f>
        <v/>
      </c>
      <c r="F68">
        <f>IF(OR(D68="",B68=""),"",(B68-D68)*100)</f>
        <v/>
      </c>
      <c r="G68">
        <f>IF(OR(E68="",C68=""),"",(C68-E68)*100)</f>
        <v/>
      </c>
    </row>
    <row r="69">
      <c r="A69" s="3">
        <f>US_Yields!A63</f>
        <v/>
      </c>
      <c r="B69">
        <f>US_Yields!H63</f>
        <v/>
      </c>
      <c r="C69">
        <f>US_Yields!M63</f>
        <v/>
      </c>
      <c r="D69">
        <f>IFERROR(INDEX(JP_Yields!B$4:B$1000,MATCH($A69,JP_Yields!A$4:A$1000,0)),)</f>
        <v/>
      </c>
      <c r="E69">
        <f>IFERROR(INDEX(JP_Yields!K$4:K$1000,MATCH($A69,JP_Yields!A$4:A$1000,0)),)</f>
        <v/>
      </c>
      <c r="F69">
        <f>IF(OR(D69="",B69=""),"",(B69-D69)*100)</f>
        <v/>
      </c>
      <c r="G69">
        <f>IF(OR(E69="",C69=""),"",(C69-E69)*100)</f>
        <v/>
      </c>
    </row>
    <row r="70">
      <c r="A70" s="3">
        <f>US_Yields!A64</f>
        <v/>
      </c>
      <c r="B70">
        <f>US_Yields!H64</f>
        <v/>
      </c>
      <c r="C70">
        <f>US_Yields!M64</f>
        <v/>
      </c>
      <c r="D70">
        <f>IFERROR(INDEX(JP_Yields!B$4:B$1000,MATCH($A70,JP_Yields!A$4:A$1000,0)),)</f>
        <v/>
      </c>
      <c r="E70">
        <f>IFERROR(INDEX(JP_Yields!K$4:K$1000,MATCH($A70,JP_Yields!A$4:A$1000,0)),)</f>
        <v/>
      </c>
      <c r="F70">
        <f>IF(OR(D70="",B70=""),"",(B70-D70)*100)</f>
        <v/>
      </c>
      <c r="G70">
        <f>IF(OR(E70="",C70=""),"",(C70-E70)*100)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4" max="4"/>
  </cols>
  <sheetData>
    <row r="1">
      <c r="A1" s="7" t="inlineStr">
        <is>
          <t>Q1 2026 USD/JPY 1-Year Forward Carry-Trade Analysis</t>
        </is>
      </c>
    </row>
    <row r="3">
      <c r="A3" s="4" t="inlineStr">
        <is>
          <t>Inputs</t>
        </is>
      </c>
    </row>
    <row r="4">
      <c r="A4" t="inlineStr">
        <is>
          <t>Quarter-start USD/JPY spot (anchor)</t>
        </is>
      </c>
      <c r="D4">
        <f>FX_USDJPY!B4</f>
        <v/>
      </c>
    </row>
    <row r="5">
      <c r="A5" t="inlineStr">
        <is>
          <t>Quarter-end USD/JPY spot</t>
        </is>
      </c>
      <c r="D5">
        <f>INDEX(FX_USDJPY!B4:B1000, COUNT(FX_USDJPY!B4:B1000))</f>
        <v/>
      </c>
    </row>
    <row r="6">
      <c r="A6" t="inlineStr">
        <is>
          <t>US 1Y yield at quarter start (%)</t>
        </is>
      </c>
      <c r="D6">
        <f>US_Yields!H4</f>
        <v/>
      </c>
    </row>
    <row r="7">
      <c r="A7" t="inlineStr">
        <is>
          <t>JP 1Y yield at quarter start (%)</t>
        </is>
      </c>
      <c r="D7">
        <f>JP_Yields!B4</f>
        <v/>
      </c>
    </row>
    <row r="8">
      <c r="A8" t="inlineStr">
        <is>
          <t>US 1Y yield at quarter end (%)</t>
        </is>
      </c>
      <c r="D8">
        <f>INDEX(US_Yields!H4:H1000, COUNT(US_Yields!H4:H1000))</f>
        <v/>
      </c>
    </row>
    <row r="9">
      <c r="A9" t="inlineStr">
        <is>
          <t>JP 1Y yield at quarter end (%)</t>
        </is>
      </c>
      <c r="D9">
        <f>INDEX(JP_Yields!B4:B1000, COUNT(JP_Yields!B4:B1000))</f>
        <v/>
      </c>
    </row>
    <row r="10">
      <c r="A10" t="inlineStr">
        <is>
          <t>Notional (USD)</t>
        </is>
      </c>
      <c r="D10" t="n">
        <v>1000000</v>
      </c>
    </row>
    <row r="12">
      <c r="A12" s="4" t="inlineStr">
        <is>
          <t>Computed</t>
        </is>
      </c>
    </row>
    <row r="13">
      <c r="A13" t="inlineStr">
        <is>
          <t>CIP 1Y implied fwd (start, JPY/USD)</t>
        </is>
      </c>
      <c r="D13">
        <f>D4*(1+D6/100)/(1+D7/100)</f>
        <v/>
      </c>
    </row>
    <row r="14">
      <c r="A14" t="inlineStr">
        <is>
          <t>CIP 1Y implied fwd (end,   JPY/USD)</t>
        </is>
      </c>
      <c r="D14">
        <f>D5*(1+D8/100)/(1+D9/100)</f>
        <v/>
      </c>
    </row>
    <row r="15">
      <c r="A15" t="inlineStr">
        <is>
          <t>Realized FX move (%)</t>
        </is>
      </c>
      <c r="D15">
        <f>D5/D4 - 1</f>
        <v/>
      </c>
    </row>
    <row r="16">
      <c r="A16" t="inlineStr">
        <is>
          <t>Nominal 1Y carry diff (US−JP, %)</t>
        </is>
      </c>
      <c r="D16">
        <f>D6 - D7</f>
        <v/>
      </c>
    </row>
    <row r="17">
      <c r="A17" t="inlineStr">
        <is>
          <t>Q1 MTM PnL on long-USD/JPY 1Y fwd (USD)</t>
        </is>
      </c>
      <c r="D17">
        <f>D10*((D5-D13)/D13)</f>
        <v/>
      </c>
    </row>
    <row r="18">
      <c r="A18" t="inlineStr">
        <is>
          <t xml:space="preserve">  — spot component (USD)</t>
        </is>
      </c>
      <c r="D18">
        <f>D10*(D5-D4)/D4</f>
        <v/>
      </c>
    </row>
    <row r="19">
      <c r="A19" t="inlineStr">
        <is>
          <t xml:space="preserve">  — carry component (USD)</t>
        </is>
      </c>
      <c r="D19">
        <f>D10*(D4-D13)/D13</f>
        <v/>
      </c>
    </row>
    <row r="20">
      <c r="A20" t="inlineStr">
        <is>
          <t xml:space="preserve">  — residual (USD)</t>
        </is>
      </c>
      <c r="D20">
        <f>D17 - D18 - D19</f>
        <v/>
      </c>
    </row>
    <row r="22">
      <c r="A22" s="4" t="inlineStr">
        <is>
          <t>Real-rate overlay (WEO 2026 CPI projections)</t>
        </is>
      </c>
    </row>
    <row r="23">
      <c r="A23" t="inlineStr">
        <is>
          <t>US CPI 2026 (%)</t>
        </is>
      </c>
      <c r="D23">
        <f>WEO_Macro!E9</f>
        <v/>
      </c>
    </row>
    <row r="24">
      <c r="A24" t="inlineStr">
        <is>
          <t>JP CPI 2026 (%)</t>
        </is>
      </c>
      <c r="D24">
        <f>WEO_Macro!E10</f>
        <v/>
      </c>
    </row>
    <row r="25">
      <c r="A25" t="inlineStr">
        <is>
          <t>US 1Y real (start, %)</t>
        </is>
      </c>
      <c r="D25">
        <f>D6 - D23</f>
        <v/>
      </c>
    </row>
    <row r="26">
      <c r="A26" t="inlineStr">
        <is>
          <t>JP 1Y real (start, %)</t>
        </is>
      </c>
      <c r="D26">
        <f>D7 - D24</f>
        <v/>
      </c>
    </row>
    <row r="27">
      <c r="A27" t="inlineStr">
        <is>
          <t>Real 1Y differential (US−JP, pp)</t>
        </is>
      </c>
      <c r="D27">
        <f>D25 - D26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Scenario sensitivities — overrides applied to quarter-end inputs</t>
        </is>
      </c>
    </row>
    <row r="3">
      <c r="A3" s="2" t="inlineStr">
        <is>
          <t>Scenario</t>
        </is>
      </c>
      <c r="B3" s="2" t="inlineStr">
        <is>
          <t>Spot end shock (×)</t>
        </is>
      </c>
      <c r="C3" s="2" t="inlineStr">
        <is>
          <t>US 1Y end shift (pp)</t>
        </is>
      </c>
      <c r="D3" s="2" t="inlineStr">
        <is>
          <t>JP 1Y end shift (pp)</t>
        </is>
      </c>
      <c r="E3" s="2" t="inlineStr">
        <is>
          <t>Spot end (JPY/USD)</t>
        </is>
      </c>
      <c r="F3" s="2" t="inlineStr">
        <is>
          <t>Implied fwd (JPY/USD)</t>
        </is>
      </c>
      <c r="G3" s="2" t="inlineStr">
        <is>
          <t>PnL (USD)</t>
        </is>
      </c>
    </row>
    <row r="4">
      <c r="A4" t="inlineStr">
        <is>
          <t>Baseline</t>
        </is>
      </c>
      <c r="B4" t="n">
        <v>1</v>
      </c>
      <c r="C4" t="n">
        <v>0</v>
      </c>
      <c r="D4" t="n">
        <v>0</v>
      </c>
      <c r="E4">
        <f>Carry_PnL!$D$5*B4</f>
        <v/>
      </c>
      <c r="F4">
        <f>E4*(1+(Carry_PnL!$D$8+C4)/100)/(1+(Carry_PnL!$D$9+D4)/100)</f>
        <v/>
      </c>
      <c r="G4">
        <f>Carry_PnL!$D$10*(F4-Carry_PnL!$D$13)/Carry_PnL!$D$13</f>
        <v/>
      </c>
    </row>
    <row r="5">
      <c r="A5" t="inlineStr">
        <is>
          <t>Fed −100bp + JPY +5%</t>
        </is>
      </c>
      <c r="B5" t="n">
        <v>0.95</v>
      </c>
      <c r="C5" t="n">
        <v>-1</v>
      </c>
      <c r="D5" t="n">
        <v>0</v>
      </c>
      <c r="E5">
        <f>Carry_PnL!$D$5*B5</f>
        <v/>
      </c>
      <c r="F5">
        <f>E5*(1+(Carry_PnL!$D$8+C5)/100)/(1+(Carry_PnL!$D$9+D5)/100)</f>
        <v/>
      </c>
      <c r="G5">
        <f>Carry_PnL!$D$10*(F5-Carry_PnL!$D$13)/Carry_PnL!$D$13</f>
        <v/>
      </c>
    </row>
    <row r="6">
      <c r="A6" t="inlineStr">
        <is>
          <t>BoJ +50bp + JPY −5%</t>
        </is>
      </c>
      <c r="B6" t="n">
        <v>1.05</v>
      </c>
      <c r="C6" t="n">
        <v>0</v>
      </c>
      <c r="D6" t="n">
        <v>0.5</v>
      </c>
      <c r="E6">
        <f>Carry_PnL!$D$5*B6</f>
        <v/>
      </c>
      <c r="F6">
        <f>E6*(1+(Carry_PnL!$D$8+C6)/100)/(1+(Carry_PnL!$D$9+D6)/100)</f>
        <v/>
      </c>
      <c r="G6">
        <f>Carry_PnL!$D$10*(F6-Carry_PnL!$D$13)/Carry_PnL!$D$13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2026-05-05T02:09:02Z</dcterms:created>
  <dcterms:modified xsi:type="dcterms:W3CDTF">2026-05-05T02:09:02Z</dcterms:modified>
</cp:coreProperties>
</file>